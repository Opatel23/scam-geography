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4.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6.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e6f107570d4c66" /></Relationships>
</file>

<file path=xl/workbook.xml><?xml version="1.0" encoding="utf-8"?>
<x:workbook xmlns:x="http://schemas.openxmlformats.org/spreadsheetml/2006/main">
  <x:sheets>
    <x:sheet xmlns:r="http://schemas.openxmlformats.org/officeDocument/2006/relationships" name="Start Here" sheetId="1" r:id="R07560b7f7cf440d4"/>
    <x:sheet xmlns:r="http://schemas.openxmlformats.org/officeDocument/2006/relationships" name="Interactive Econ Lab" sheetId="2" r:id="R88072faed6df4a52"/>
    <x:sheet xmlns:r="http://schemas.openxmlformats.org/officeDocument/2006/relationships" name="State Scorecard" sheetId="3" r:id="R1a9346fb4d884a83"/>
    <x:sheet xmlns:r="http://schemas.openxmlformats.org/officeDocument/2006/relationships" name="Scenario Lab" sheetId="4" r:id="R690780ffe10f4201"/>
    <x:sheet xmlns:r="http://schemas.openxmlformats.org/officeDocument/2006/relationships" name="Dashboard" sheetId="5" r:id="Rc45d08b2af50465c"/>
    <x:sheet xmlns:r="http://schemas.openxmlformats.org/officeDocument/2006/relationships" name="Panel Dashboard" sheetId="6" r:id="R4c8bcb816bec4f2d"/>
    <x:sheet xmlns:r="http://schemas.openxmlformats.org/officeDocument/2006/relationships" name="State Data" sheetId="7" r:id="R94e59058d568455d"/>
    <x:sheet xmlns:r="http://schemas.openxmlformats.org/officeDocument/2006/relationships" name="Panel Data" sheetId="8" r:id="Rfa2a6923d3804b84"/>
    <x:sheet xmlns:r="http://schemas.openxmlformats.org/officeDocument/2006/relationships" name="Regression" sheetId="9" r:id="Ra6354884177d4a95"/>
    <x:sheet xmlns:r="http://schemas.openxmlformats.org/officeDocument/2006/relationships" name="Panel Models" sheetId="10" r:id="R3cd760b4116b4d18"/>
    <x:sheet xmlns:r="http://schemas.openxmlformats.org/officeDocument/2006/relationships" name="Sources &amp; Notes" sheetId="11" r:id="R74e4500ef8cf4383"/>
    <x:sheet xmlns:r="http://schemas.openxmlformats.org/officeDocument/2006/relationships" name="Chart Data" sheetId="12" r:id="Rd7b87286befc4947"/>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 numFmtId="212" formatCode="+0.0%;-0.0%;0.0%"/>
  </x:numFmts>
  <x:fonts count="23">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b/>
      <x:sz val="16"/>
      <x:color rgb="FF17324D"/>
      <x:name val="Carlito"/>
    </x:font>
    <x:font>
      <x:b/>
      <x:sz val="22"/>
      <x:color rgb="FF17324D"/>
      <x:name val="Carlito"/>
    </x:font>
    <x:font>
      <x:b/>
      <x:sz val="12"/>
      <x:color rgb="FF17324D"/>
      <x:name val="Carlito"/>
    </x:font>
  </x:fonts>
  <x:fills count="13">
    <x:fill>
      <x:patternFill patternType="none"/>
    </x:fill>
    <x:fill>
      <x:patternFill patternType="gray125"/>
    </x:fill>
    <x:fill>
      <x:patternFill patternType="solid">
        <x:fgColor rgb="FF17324D"/>
      </x:patternFill>
    </x:fill>
    <x:fill>
      <x:patternFill patternType="solid">
        <x:fgColor rgb="FFE4EDCF"/>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6D8"/>
      </x:patternFill>
    </x:fill>
  </x:fills>
  <x:borders count="36">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thin">
        <x:color rgb="FFD99B2B"/>
      </x:left>
      <x:top style="thin">
        <x:color rgb="FFD99B2B"/>
      </x:top>
    </x:border>
    <x:border>
      <x:top style="thin">
        <x:color rgb="FFD99B2B"/>
      </x:top>
    </x:border>
    <x:border>
      <x:right style="thin">
        <x:color rgb="FFD99B2B"/>
      </x:right>
      <x:top style="thin">
        <x:color rgb="FFD99B2B"/>
      </x:top>
    </x:border>
    <x:border>
      <x:left style="thin">
        <x:color rgb="FFD99B2B"/>
      </x:left>
      <x:bottom style="thin">
        <x:color rgb="FFD99B2B"/>
      </x:bottom>
    </x:border>
    <x:border>
      <x:bottom style="thin">
        <x:color rgb="FFD99B2B"/>
      </x:bottom>
    </x:border>
    <x:border>
      <x:right style="thin">
        <x:color rgb="FFD99B2B"/>
      </x:right>
      <x:bottom style="thin">
        <x:color rgb="FFD99B2B"/>
      </x:bottom>
    </x:border>
    <x:border>
      <x:left style="thin">
        <x:color rgb="FFC5D3DC"/>
      </x:left>
      <x:top style="thin">
        <x:color rgb="FFC5D3DC"/>
      </x:top>
      <x:bottom style="thin">
        <x:color rgb="FFC5D3DC"/>
      </x:bottom>
    </x:border>
    <x:border>
      <x:right style="thin">
        <x:color rgb="FFC5D3DC"/>
      </x:right>
      <x:top style="thin">
        <x:color rgb="FFC5D3DC"/>
      </x:top>
      <x:bottom style="thin">
        <x:color rgb="FFC5D3DC"/>
      </x:bottom>
    </x:border>
  </x:borders>
  <x:cellStyleXfs count="1">
    <x:xf numFmtId="0" fontId="0" fillId="0" borderId="0"/>
  </x:cellStyleXfs>
  <x:cellXfs count="45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205" fontId="0" fillId="4" borderId="0" xfId="0" applyNumberFormat="1" applyFont="1" applyFill="1" applyBorder="1"/>
    <x:xf numFmtId="205" fontId="14" fillId="4" borderId="0" xfId="0" applyNumberFormat="1" applyFont="1" applyFill="1" applyBorder="1"/>
    <x:xf numFmtId="205" fontId="14" fillId="4" borderId="0" xfId="0" applyNumberFormat="1" applyFont="1" applyFill="1" applyBorder="1" applyAlignment="1">
      <x:alignment wrapText="1"/>
    </x:xf>
    <x:xf numFmtId="205" fontId="14" fillId="4" borderId="0"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0" xfId="0" applyNumberFormat="1" applyFont="1" applyFill="1" applyBorder="1" applyAlignment="1">
      <x:alignment wrapText="1"/>
    </x:xf>
    <x:xf numFmtId="0" fontId="12" fillId="2" borderId="0"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211" fontId="19" fillId="12" borderId="28" xfId="0" applyNumberFormat="1" applyFont="1" applyFill="1" applyBorder="1" applyAlignment="1">
      <x:alignment horizontal="center" vertical="center"/>
    </x:xf>
    <x:xf numFmtId="203" fontId="0" fillId="6" borderId="0" xfId="0" applyNumberFormat="1" applyFont="1" applyFill="1" applyBorder="1"/>
    <x:xf numFmtId="205" fontId="0" fillId="6" borderId="0" xfId="0" applyNumberFormat="1" applyFont="1" applyFill="1" applyBorder="1"/>
    <x:xf numFmtId="203" fontId="20" fillId="6" borderId="0" xfId="0" applyNumberFormat="1" applyFont="1" applyFill="1" applyBorder="1"/>
    <x:xf numFmtId="205" fontId="20" fillId="6" borderId="0" xfId="0" applyNumberFormat="1" applyFont="1" applyFill="1" applyBorder="1"/>
    <x:xf numFmtId="203" fontId="20" fillId="6" borderId="34" xfId="0" applyNumberFormat="1" applyFont="1" applyFill="1" applyBorder="1"/>
    <x:xf numFmtId="205" fontId="20" fillId="6" borderId="35" xfId="0" applyNumberFormat="1" applyFont="1" applyFill="1" applyBorder="1"/>
    <x:xf numFmtId="203" fontId="20" fillId="6" borderId="34" xfId="0" applyNumberFormat="1" applyFont="1" applyFill="1" applyBorder="1" applyAlignment="1">
      <x:alignment horizontal="center"/>
    </x:xf>
    <x:xf numFmtId="205" fontId="20" fillId="6" borderId="35" xfId="0" applyNumberFormat="1" applyFont="1" applyFill="1" applyBorder="1" applyAlignment="1">
      <x:alignment horizontal="center"/>
    </x:xf>
    <x:xf numFmtId="212" fontId="0" fillId="0" borderId="0" xfId="0" applyNumberFormat="1" applyFont="1" applyFill="1" applyBorder="1"/>
    <x:xf numFmtId="0" fontId="4" fillId="8" borderId="0" xfId="0" applyNumberFormat="1" applyFont="1" applyFill="1" applyBorder="1" applyAlignment="1">
      <x:alignment horizontal="center"/>
    </x:xf>
    <x:xf numFmtId="205" fontId="21" fillId="6" borderId="0" xfId="0" applyNumberFormat="1" applyFont="1" applyFill="1" applyBorder="1"/>
    <x:xf numFmtId="0" fontId="21" fillId="6" borderId="0" xfId="0" applyNumberFormat="1" applyFont="1" applyFill="1" applyBorder="1"/>
    <x:xf numFmtId="205" fontId="21" fillId="6" borderId="1" xfId="0" applyNumberFormat="1" applyFont="1" applyFill="1" applyBorder="1"/>
    <x:xf numFmtId="0" fontId="21" fillId="6" borderId="2" xfId="0" applyNumberFormat="1" applyFont="1" applyFill="1" applyBorder="1"/>
    <x:xf numFmtId="0" fontId="21" fillId="6" borderId="3" xfId="0" applyNumberFormat="1" applyFont="1" applyFill="1" applyBorder="1"/>
    <x:xf numFmtId="0" fontId="21" fillId="6" borderId="6" xfId="0" applyNumberFormat="1" applyFont="1" applyFill="1" applyBorder="1"/>
    <x:xf numFmtId="0" fontId="21" fillId="6" borderId="7" xfId="0" applyNumberFormat="1" applyFont="1" applyFill="1" applyBorder="1"/>
    <x:xf numFmtId="0" fontId="21" fillId="6" borderId="8" xfId="0" applyNumberFormat="1" applyFont="1" applyFill="1" applyBorder="1"/>
    <x:xf numFmtId="205" fontId="21" fillId="6" borderId="1" xfId="0" applyNumberFormat="1" applyFont="1" applyFill="1" applyBorder="1" applyAlignment="1">
      <x:alignment horizontal="center"/>
    </x:xf>
    <x:xf numFmtId="0" fontId="21" fillId="6" borderId="2" xfId="0" applyNumberFormat="1" applyFont="1" applyFill="1" applyBorder="1" applyAlignment="1">
      <x:alignment horizontal="center"/>
    </x:xf>
    <x:xf numFmtId="0" fontId="21" fillId="6" borderId="3" xfId="0" applyNumberFormat="1" applyFont="1" applyFill="1" applyBorder="1" applyAlignment="1">
      <x:alignment horizontal="center"/>
    </x:xf>
    <x:xf numFmtId="0" fontId="21" fillId="6" borderId="6" xfId="0" applyNumberFormat="1" applyFont="1" applyFill="1" applyBorder="1" applyAlignment="1">
      <x:alignment horizontal="center"/>
    </x:xf>
    <x:xf numFmtId="0" fontId="21" fillId="6" borderId="7" xfId="0" applyNumberFormat="1" applyFont="1" applyFill="1" applyBorder="1" applyAlignment="1">
      <x:alignment horizontal="center"/>
    </x:xf>
    <x:xf numFmtId="0" fontId="21" fillId="6" borderId="8" xfId="0" applyNumberFormat="1" applyFont="1" applyFill="1" applyBorder="1" applyAlignment="1">
      <x:alignment horizontal="center"/>
    </x:xf>
    <x:xf numFmtId="205" fontId="21" fillId="6" borderId="1" xfId="0" applyNumberFormat="1" applyFont="1" applyFill="1" applyBorder="1" applyAlignment="1">
      <x:alignment horizontal="center" vertical="center"/>
    </x:xf>
    <x:xf numFmtId="0" fontId="21" fillId="6" borderId="2" xfId="0" applyNumberFormat="1" applyFont="1" applyFill="1" applyBorder="1" applyAlignment="1">
      <x:alignment horizontal="center" vertical="center"/>
    </x:xf>
    <x:xf numFmtId="0" fontId="21" fillId="6" borderId="3" xfId="0" applyNumberFormat="1" applyFont="1" applyFill="1" applyBorder="1" applyAlignment="1">
      <x:alignment horizontal="center" vertical="center"/>
    </x:xf>
    <x:xf numFmtId="0" fontId="21" fillId="6" borderId="6" xfId="0" applyNumberFormat="1" applyFont="1" applyFill="1" applyBorder="1" applyAlignment="1">
      <x:alignment horizontal="center" vertical="center"/>
    </x:xf>
    <x:xf numFmtId="0" fontId="21" fillId="6" borderId="7" xfId="0" applyNumberFormat="1" applyFont="1" applyFill="1" applyBorder="1" applyAlignment="1">
      <x:alignment horizontal="center" vertical="center"/>
    </x:xf>
    <x:xf numFmtId="0" fontId="21" fillId="6" borderId="8" xfId="0" applyNumberFormat="1" applyFont="1" applyFill="1" applyBorder="1" applyAlignment="1">
      <x:alignment horizontal="center" vertical="center"/>
    </x:xf>
    <x:xf numFmtId="203" fontId="21" fillId="6" borderId="0" xfId="0" applyNumberFormat="1" applyFont="1" applyFill="1" applyBorder="1"/>
    <x:xf numFmtId="203" fontId="21" fillId="6" borderId="1" xfId="0" applyNumberFormat="1" applyFont="1" applyFill="1" applyBorder="1"/>
    <x:xf numFmtId="203" fontId="21" fillId="6" borderId="1" xfId="0" applyNumberFormat="1" applyFont="1" applyFill="1" applyBorder="1" applyAlignment="1">
      <x:alignment horizontal="center"/>
    </x:xf>
    <x:xf numFmtId="203" fontId="21" fillId="6" borderId="1" xfId="0" applyNumberFormat="1" applyFont="1" applyFill="1" applyBorder="1" applyAlignment="1">
      <x:alignment horizontal="center" vertical="center"/>
    </x:xf>
    <x:xf numFmtId="0" fontId="4" fillId="5" borderId="0" xfId="0" applyNumberFormat="1" applyFont="1" applyFill="1" applyBorder="1" applyAlignment="1">
      <x:alignment wrapText="1"/>
    </x:xf>
    <x:xf numFmtId="0" fontId="19" fillId="10" borderId="0" xfId="0" applyNumberFormat="1" applyFont="1" applyFill="1" applyBorder="1"/>
    <x:xf numFmtId="0" fontId="19" fillId="10" borderId="17" xfId="0" applyNumberFormat="1" applyFont="1" applyFill="1" applyBorder="1"/>
    <x:xf numFmtId="0" fontId="19" fillId="10" borderId="18" xfId="0" applyNumberFormat="1" applyFont="1" applyFill="1" applyBorder="1"/>
    <x:xf numFmtId="0" fontId="19" fillId="10" borderId="19" xfId="0" applyNumberFormat="1" applyFont="1" applyFill="1" applyBorder="1"/>
    <x:xf numFmtId="0" fontId="19" fillId="10" borderId="20" xfId="0" applyNumberFormat="1" applyFont="1" applyFill="1" applyBorder="1"/>
    <x:xf numFmtId="0" fontId="19" fillId="10" borderId="21" xfId="0" applyNumberFormat="1" applyFont="1" applyFill="1" applyBorder="1"/>
    <x:xf numFmtId="0" fontId="19" fillId="10" borderId="22" xfId="0" applyNumberFormat="1" applyFont="1" applyFill="1" applyBorder="1"/>
    <x:xf numFmtId="0" fontId="19" fillId="10" borderId="23" xfId="0" applyNumberFormat="1" applyFont="1" applyFill="1" applyBorder="1"/>
    <x:xf numFmtId="0" fontId="19" fillId="10" borderId="24" xfId="0" applyNumberFormat="1" applyFont="1" applyFill="1" applyBorder="1"/>
    <x:xf numFmtId="0" fontId="19" fillId="10" borderId="17" xfId="0" applyNumberFormat="1" applyFont="1" applyFill="1" applyBorder="1" applyAlignment="1">
      <x:alignment wrapText="1"/>
    </x:xf>
    <x:xf numFmtId="0" fontId="19" fillId="10" borderId="18" xfId="0" applyNumberFormat="1" applyFont="1" applyFill="1" applyBorder="1" applyAlignment="1">
      <x:alignment wrapText="1"/>
    </x:xf>
    <x:xf numFmtId="0" fontId="19" fillId="10" borderId="19" xfId="0" applyNumberFormat="1" applyFont="1" applyFill="1" applyBorder="1" applyAlignment="1">
      <x:alignment wrapText="1"/>
    </x:xf>
    <x:xf numFmtId="0" fontId="19" fillId="10" borderId="20" xfId="0" applyNumberFormat="1" applyFont="1" applyFill="1" applyBorder="1" applyAlignment="1">
      <x:alignment wrapText="1"/>
    </x:xf>
    <x:xf numFmtId="0" fontId="19" fillId="10" borderId="0" xfId="0" applyNumberFormat="1" applyFont="1" applyFill="1" applyBorder="1" applyAlignment="1">
      <x:alignment wrapText="1"/>
    </x:xf>
    <x:xf numFmtId="0" fontId="19" fillId="10" borderId="21" xfId="0" applyNumberFormat="1" applyFont="1" applyFill="1" applyBorder="1" applyAlignment="1">
      <x:alignment wrapText="1"/>
    </x:xf>
    <x:xf numFmtId="0" fontId="19" fillId="10" borderId="22" xfId="0" applyNumberFormat="1" applyFont="1" applyFill="1" applyBorder="1" applyAlignment="1">
      <x:alignment wrapText="1"/>
    </x:xf>
    <x:xf numFmtId="0" fontId="19" fillId="10" borderId="23" xfId="0" applyNumberFormat="1" applyFont="1" applyFill="1" applyBorder="1" applyAlignment="1">
      <x:alignment wrapText="1"/>
    </x:xf>
    <x:xf numFmtId="0" fontId="19" fillId="10" borderId="24" xfId="0" applyNumberFormat="1" applyFont="1" applyFill="1" applyBorder="1" applyAlignment="1">
      <x:alignment wrapText="1"/>
    </x:xf>
    <x:xf numFmtId="0" fontId="19" fillId="10" borderId="17" xfId="0" applyNumberFormat="1" applyFont="1" applyFill="1" applyBorder="1" applyAlignment="1">
      <x:alignment horizontal="center" wrapText="1"/>
    </x:xf>
    <x:xf numFmtId="0" fontId="19" fillId="10" borderId="18" xfId="0" applyNumberFormat="1" applyFont="1" applyFill="1" applyBorder="1" applyAlignment="1">
      <x:alignment horizontal="center" wrapText="1"/>
    </x:xf>
    <x:xf numFmtId="0" fontId="19" fillId="10" borderId="19" xfId="0" applyNumberFormat="1" applyFont="1" applyFill="1" applyBorder="1" applyAlignment="1">
      <x:alignment horizontal="center" wrapText="1"/>
    </x:xf>
    <x:xf numFmtId="0" fontId="19" fillId="10" borderId="20" xfId="0" applyNumberFormat="1" applyFont="1" applyFill="1" applyBorder="1" applyAlignment="1">
      <x:alignment horizontal="center" wrapText="1"/>
    </x:xf>
    <x:xf numFmtId="0" fontId="19" fillId="10" borderId="0" xfId="0" applyNumberFormat="1" applyFont="1" applyFill="1" applyBorder="1" applyAlignment="1">
      <x:alignment horizontal="center" wrapText="1"/>
    </x:xf>
    <x:xf numFmtId="0" fontId="19" fillId="10" borderId="21" xfId="0" applyNumberFormat="1" applyFont="1" applyFill="1" applyBorder="1" applyAlignment="1">
      <x:alignment horizontal="center" wrapText="1"/>
    </x:xf>
    <x:xf numFmtId="0" fontId="19" fillId="10" borderId="22" xfId="0" applyNumberFormat="1" applyFont="1" applyFill="1" applyBorder="1" applyAlignment="1">
      <x:alignment horizontal="center" wrapText="1"/>
    </x:xf>
    <x:xf numFmtId="0" fontId="19" fillId="10" borderId="23" xfId="0" applyNumberFormat="1" applyFont="1" applyFill="1" applyBorder="1" applyAlignment="1">
      <x:alignment horizontal="center" wrapText="1"/>
    </x:xf>
    <x:xf numFmtId="0" fontId="19" fillId="10" borderId="24" xfId="0" applyNumberFormat="1" applyFont="1" applyFill="1" applyBorder="1" applyAlignment="1">
      <x:alignment horizontal="center" wrapText="1"/>
    </x:xf>
    <x:xf numFmtId="0" fontId="19" fillId="10" borderId="17" xfId="0" applyNumberFormat="1" applyFont="1" applyFill="1" applyBorder="1" applyAlignment="1">
      <x:alignment horizontal="center" vertical="center" wrapText="1"/>
    </x:xf>
    <x:xf numFmtId="0" fontId="19" fillId="10" borderId="18" xfId="0" applyNumberFormat="1" applyFont="1" applyFill="1" applyBorder="1" applyAlignment="1">
      <x:alignment horizontal="center" vertical="center" wrapText="1"/>
    </x:xf>
    <x:xf numFmtId="0" fontId="19" fillId="10" borderId="19" xfId="0" applyNumberFormat="1" applyFont="1" applyFill="1" applyBorder="1" applyAlignment="1">
      <x:alignment horizontal="center" vertical="center" wrapText="1"/>
    </x:xf>
    <x:xf numFmtId="0" fontId="19" fillId="10" borderId="20" xfId="0" applyNumberFormat="1" applyFont="1" applyFill="1" applyBorder="1" applyAlignment="1">
      <x:alignment horizontal="center" vertical="center" wrapText="1"/>
    </x:xf>
    <x:xf numFmtId="0" fontId="19" fillId="10" borderId="0" xfId="0" applyNumberFormat="1" applyFont="1" applyFill="1" applyBorder="1" applyAlignment="1">
      <x:alignment horizontal="center" vertical="center" wrapText="1"/>
    </x:xf>
    <x:xf numFmtId="0" fontId="19" fillId="10" borderId="21" xfId="0" applyNumberFormat="1" applyFont="1" applyFill="1" applyBorder="1" applyAlignment="1">
      <x:alignment horizontal="center" vertical="center" wrapText="1"/>
    </x:xf>
    <x:xf numFmtId="0" fontId="19" fillId="10" borderId="22" xfId="0" applyNumberFormat="1" applyFont="1" applyFill="1" applyBorder="1" applyAlignment="1">
      <x:alignment horizontal="center" vertical="center" wrapText="1"/>
    </x:xf>
    <x:xf numFmtId="0" fontId="19" fillId="10" borderId="23" xfId="0" applyNumberFormat="1" applyFont="1" applyFill="1" applyBorder="1" applyAlignment="1">
      <x:alignment horizontal="center" vertical="center" wrapText="1"/>
    </x:xf>
    <x:xf numFmtId="0" fontId="19" fillId="10" borderId="24" xfId="0" applyNumberFormat="1" applyFont="1" applyFill="1" applyBorder="1" applyAlignment="1">
      <x:alignment horizontal="center" vertical="center" wrapText="1"/>
    </x:xf>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3"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1" xfId="0" applyNumberFormat="1" applyFont="1" applyFill="1" applyBorder="1" applyAlignment="1">
      <x:alignment wrapText="1"/>
    </x:xf>
    <x:xf numFmtId="0" fontId="5" fillId="4" borderId="2" xfId="0" applyNumberFormat="1" applyFont="1" applyFill="1" applyBorder="1" applyAlignment="1">
      <x:alignment wrapText="1"/>
    </x:xf>
    <x:xf numFmtId="0" fontId="5" fillId="4" borderId="3" xfId="0" applyNumberFormat="1" applyFont="1" applyFill="1" applyBorder="1" applyAlignment="1">
      <x:alignment wrapText="1"/>
    </x:xf>
    <x:xf numFmtId="0" fontId="5" fillId="4" borderId="4"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wrapText="1"/>
    </x:xf>
    <x:xf numFmtId="0" fontId="5" fillId="4" borderId="6" xfId="0" applyNumberFormat="1" applyFont="1" applyFill="1" applyBorder="1" applyAlignment="1">
      <x:alignment wrapText="1"/>
    </x:xf>
    <x:xf numFmtId="0" fontId="5" fillId="4" borderId="7" xfId="0" applyNumberFormat="1" applyFont="1" applyFill="1" applyBorder="1" applyAlignment="1">
      <x:alignment wrapText="1"/>
    </x:xf>
    <x:xf numFmtId="0" fontId="5" fillId="4" borderId="8" xfId="0" applyNumberFormat="1" applyFont="1" applyFill="1" applyBorder="1" applyAlignment="1">
      <x:alignment wrapText="1"/>
    </x:xf>
    <x:xf numFmtId="0" fontId="5" fillId="4" borderId="1" xfId="0" applyNumberFormat="1" applyFont="1" applyFill="1" applyBorder="1" applyAlignment="1">
      <x:alignment vertical="center" wrapText="1"/>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5" xfId="0" applyNumberFormat="1" applyFont="1" applyFill="1" applyBorder="1" applyAlignment="1">
      <x:alignment vertical="center" wrapText="1"/>
    </x:xf>
    <x:xf numFmtId="0" fontId="5" fillId="4" borderId="6" xfId="0" applyNumberFormat="1" applyFont="1" applyFill="1" applyBorder="1" applyAlignment="1">
      <x:alignment vertical="center" wrapText="1"/>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22" fillId="3" borderId="0" xfId="0" applyNumberFormat="1" applyFont="1" applyFill="1" applyBorder="1"/>
    <x:xf numFmtId="0" fontId="22" fillId="3" borderId="0" xfId="0" applyNumberFormat="1" applyFont="1" applyFill="1" applyBorder="1" applyAlignment="1">
      <x:alignment wrapText="1"/>
    </x:xf>
    <x:xf numFmtId="0" fontId="22" fillId="3" borderId="0" xfId="0" applyNumberFormat="1" applyFont="1" applyFill="1" applyBorder="1" applyAlignment="1">
      <x:alignment vertical="center" wrapText="1"/>
    </x:xf>
  </x:cellXfs>
  <x:cellStyles count="1">
    <x:cellStyle name="Normal" xfId="0"/>
  </x:cellStyles>
  <x:dxfs count="2">
    <x:dxf>
      <x:font>
        <x:b/>
        <x:color rgb="FF19603A"/>
      </x:font>
      <x:fill>
        <x:patternFill patternType="solid">
          <x:bgColor rgb="FFDFF2E8"/>
        </x:patternFill>
      </x:fill>
    </x:dxf>
    <x:dxf>
      <x:font>
        <x:b/>
        <x:color rgb="FF19603A"/>
      </x:font>
      <x:fill>
        <x:patternFill patternType="solid">
          <x:bgColor rgb="FFDF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addf6f7c1843a8" /><Relationship Type="http://schemas.openxmlformats.org/officeDocument/2006/relationships/theme" Target="/xl/theme/theme1.xml" Id="R7025c876bff64d6c" /><Relationship Type="http://schemas.openxmlformats.org/officeDocument/2006/relationships/sharedStrings" Target="/xl/sharedStrings.xml" Id="R264618fc31e74408" /><Relationship Type="http://schemas.openxmlformats.org/officeDocument/2006/relationships/worksheet" Target="/xl/worksheets/sheet1.xml" Id="R07560b7f7cf440d4" /><Relationship Type="http://schemas.openxmlformats.org/officeDocument/2006/relationships/worksheet" Target="/xl/worksheets/sheet2.xml" Id="R88072faed6df4a52" /><Relationship Type="http://schemas.openxmlformats.org/officeDocument/2006/relationships/worksheet" Target="/xl/worksheets/sheet3.xml" Id="R1a9346fb4d884a83" /><Relationship Type="http://schemas.openxmlformats.org/officeDocument/2006/relationships/worksheet" Target="/xl/worksheets/sheet4.xml" Id="R690780ffe10f4201" /><Relationship Type="http://schemas.openxmlformats.org/officeDocument/2006/relationships/worksheet" Target="/xl/worksheets/sheet5.xml" Id="Rc45d08b2af50465c" /><Relationship Type="http://schemas.openxmlformats.org/officeDocument/2006/relationships/worksheet" Target="/xl/worksheets/sheet6.xml" Id="R4c8bcb816bec4f2d" /><Relationship Type="http://schemas.openxmlformats.org/officeDocument/2006/relationships/worksheet" Target="/xl/worksheets/sheet7.xml" Id="R94e59058d568455d" /><Relationship Type="http://schemas.openxmlformats.org/officeDocument/2006/relationships/worksheet" Target="/xl/worksheets/sheet8.xml" Id="Rfa2a6923d3804b84" /><Relationship Type="http://schemas.openxmlformats.org/officeDocument/2006/relationships/worksheet" Target="/xl/worksheets/sheet9.xml" Id="Ra6354884177d4a95" /><Relationship Type="http://schemas.openxmlformats.org/officeDocument/2006/relationships/worksheet" Target="/xl/worksheets/sheet10.xml" Id="R3cd760b4116b4d18" /><Relationship Type="http://schemas.openxmlformats.org/officeDocument/2006/relationships/worksheet" Target="/xl/worksheets/sheet11.xml" Id="R74e4500ef8cf4383" /><Relationship Type="http://schemas.openxmlformats.org/officeDocument/2006/relationships/worksheet" Target="/xl/worksheets/sheet12.xml" Id="Rd7b87286befc494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b919ba3124b42fc" /></Relationships>
</file>

<file path=xl/drawings/_rels/drawing2.xml.rels>&#65279;<?xml version="1.0" encoding="utf-8"?><Relationships xmlns="http://schemas.openxmlformats.org/package/2006/relationships"><Relationship Type="http://schemas.openxmlformats.org/officeDocument/2006/relationships/chart" Target="/xl/drawings/charts/chart2.xml" Id="Rbac33135aebd483d" /></Relationships>
</file>

<file path=xl/drawings/_rels/drawing3.xml.rels>&#65279;<?xml version="1.0" encoding="utf-8"?><Relationships xmlns="http://schemas.openxmlformats.org/package/2006/relationships"><Relationship Type="http://schemas.openxmlformats.org/officeDocument/2006/relationships/chart" Target="/xl/drawings/charts/chart3.xml" Id="Rc3209e7d2246495d" /></Relationships>
</file>

<file path=xl/drawings/_rels/drawing4.xml.rels>&#65279;<?xml version="1.0" encoding="utf-8"?><Relationships xmlns="http://schemas.openxmlformats.org/package/2006/relationships"><Relationship Type="http://schemas.openxmlformats.org/officeDocument/2006/relationships/chart" Target="/xl/drawings/charts/chart4.xml" Id="R8cab3612050a414f" /><Relationship Type="http://schemas.openxmlformats.org/officeDocument/2006/relationships/chart" Target="/xl/drawings/charts/chart5.xml" Id="R3f400ae8979f4703" /></Relationships>
</file>

<file path=xl/drawings/_rels/drawing5.xml.rels>&#65279;<?xml version="1.0" encoding="utf-8"?><Relationships xmlns="http://schemas.openxmlformats.org/package/2006/relationships"><Relationship Type="http://schemas.openxmlformats.org/officeDocument/2006/relationships/chart" Target="/xl/drawings/charts/chart6.xml" Id="Re1433aab35ea488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outcome across time</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state's loss per person,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person</c:v>
          </c:tx>
          <c:marker>
            <c:symbol val="none"/>
          </c:marker>
          <c:cat>
            <c:strRef>
              <c:f>'State Scorecard'!$A$18:$A$21</c:f>
              <c:strCache>
                <c:ptCount val="0"/>
              </c:strCache>
            </c:strRef>
          </c:cat>
          <c:val>
            <c:numRef>
              <c:f>'State Scorecard'!$D$18:$D$21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How model choice changes the scenario</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Baseline</c:v>
          </c:tx>
          <c:cat>
            <c:strRef>
              <c:f>'Scenario Lab'!$A$12:$A$14</c:f>
              <c:strCache>
                <c:ptCount val="0"/>
              </c:strCache>
            </c:strRef>
          </c:cat>
          <c:val>
            <c:numRef>
              <c:f>'Scenario Lab'!$C$12:$C$14</c:f>
              <c:numCache>
                <c:formatCode>$0</c:formatCode>
                <c:ptCount val="0"/>
              </c:numCache>
            </c:numRef>
          </c:val>
        </c:ser>
        <c:ser>
          <c:idx val="1"/>
          <c:order val="1"/>
          <c:tx>
            <c:v>Scenario</c:v>
          </c:tx>
          <c:cat>
            <c:strRef>
              <c:f>'Scenario Lab'!$A$12:$A$14</c:f>
              <c:strCache>
                <c:ptCount val="0"/>
              </c:strCache>
            </c:strRef>
          </c:cat>
          <c:val>
            <c:numRef>
              <c:f>'Scenario Lab'!$D$12:$D$14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Highest reported loss per capita (2025)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Higher-income states tend to report larger losses per resident</a:t>
            </a:r>
          </a:p>
        </c:rich>
      </c:tx>
      <c:overlay val="0"/>
      <c:txPr>
        <a:bodyPr xmlns:a="http://schemas.openxmlformats.org/drawingml/2006/main" anchorCtr="1"/>
        <a:lstStyle xmlns:a="http://schemas.openxmlformats.org/drawingml/2006/main"/>
        <a:p xmlns:a="http://schemas.openxmlformats.org/drawingml/2006/main">
          <a:pPr>
            <a:defRPr sz="900"/>
          </a:pPr>
        </a:p>
      </c:txPr>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Reported loss per resident nearly doubled,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b919ba3124b42fc"/>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14</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c33135aebd483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9</xdr:row>
      <xdr:rowOff>0</xdr:rowOff>
    </xdr:from>
    <xdr:to>
      <xdr:col>14</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209e7d2246495d"/>
        </a:graphicData>
      </a:graphic>
    </xdr:graphicFrame>
    <xdr:clientData/>
  </xdr:twoCellAnchor>
</xdr:wsDr>
</file>

<file path=xl/drawings/drawing4.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ab3612050a414f"/>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f400ae8979f4703"/>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1433aab35ea4881"/>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3.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8f7c2d75774c4a15" /></Relationships>
</file>

<file path=xl/worksheets/_rels/sheet3.xml.rels>&#65279;<?xml version="1.0" encoding="utf-8"?><Relationships xmlns="http://schemas.openxmlformats.org/package/2006/relationships"><Relationship Type="http://schemas.openxmlformats.org/officeDocument/2006/relationships/drawing" Target="/xl/drawings/drawing2.xml" Id="Rce81485bf7164b44" /></Relationships>
</file>

<file path=xl/worksheets/_rels/sheet4.xml.rels>&#65279;<?xml version="1.0" encoding="utf-8"?><Relationships xmlns="http://schemas.openxmlformats.org/package/2006/relationships"><Relationship Type="http://schemas.openxmlformats.org/officeDocument/2006/relationships/drawing" Target="/xl/drawings/drawing3.xml" Id="R3a2c722445934657" /></Relationships>
</file>

<file path=xl/worksheets/_rels/sheet5.xml.rels>&#65279;<?xml version="1.0" encoding="utf-8"?><Relationships xmlns="http://schemas.openxmlformats.org/package/2006/relationships"><Relationship Type="http://schemas.openxmlformats.org/officeDocument/2006/relationships/drawing" Target="/xl/drawings/drawing4.xml" Id="R685c14d942a84026" /></Relationships>
</file>

<file path=xl/worksheets/_rels/sheet6.xml.rels>&#65279;<?xml version="1.0" encoding="utf-8"?><Relationships xmlns="http://schemas.openxmlformats.org/package/2006/relationships"><Relationship Type="http://schemas.openxmlformats.org/officeDocument/2006/relationships/drawing" Target="/xl/drawings/drawing5.xml" Id="Rb1b5b7e860cb4a52" /></Relationships>
</file>

<file path=xl/worksheets/_rels/sheet7.xml.rels>&#65279;<?xml version="1.0" encoding="utf-8"?><Relationships xmlns="http://schemas.openxmlformats.org/package/2006/relationships"><Relationship Type="http://schemas.openxmlformats.org/officeDocument/2006/relationships/table" Target="/xl/tables/table1.xml" Id="Rb8da9eb0600c412b" /></Relationships>
</file>

<file path=xl/worksheets/_rels/sheet8.xml.rels>&#65279;<?xml version="1.0" encoding="utf-8"?><Relationships xmlns="http://schemas.openxmlformats.org/package/2006/relationships"><Relationship Type="http://schemas.openxmlformats.org/officeDocument/2006/relationships/table" Target="/xl/tables/table2.xml" Id="R64c5bc17a1cb4665" /></Relationships>
</file>

<file path=xl/worksheets/_rels/sheet9.xml.rels>&#65279;<?xml version="1.0" encoding="utf-8"?><Relationships xmlns="http://schemas.openxmlformats.org/package/2006/relationships"><Relationship Type="http://schemas.openxmlformats.org/officeDocument/2006/relationships/table" Target="/xl/tables/table3.xml" Id="Rc7c59e62c9324a73" /></Relationships>
</file>

<file path=xl/worksheets/_rels/sheet10.xml.rels>&#65279;<?xml version="1.0" encoding="utf-8"?><Relationships xmlns="http://schemas.openxmlformats.org/package/2006/relationships"><Relationship Type="http://schemas.openxmlformats.org/officeDocument/2006/relationships/table" Target="/xl/tables/table4.xml" Id="Rda336d38c0024b14"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Patel | FBI IC3 + Census ACS | 2022–2025</x:v>
      </x:c>
      <x:c r="B4" s="6"/>
      <x:c r="C4" s="6"/>
      <x:c r="D4" s="6"/>
      <x:c r="E4" s="6"/>
      <x:c r="F4" s="6"/>
      <x:c r="G4" s="6"/>
      <x:c r="H4" s="6"/>
      <x:c r="I4" s="6"/>
      <x:c r="J4" s="6"/>
      <x:c r="K4" s="6"/>
      <x:c r="L4" s="6"/>
      <x:c r="M4" s="6"/>
      <x:c r="N4" s="6"/>
    </x:row>
    <x:row r="6">
      <x:c r="A6" s="26" t="str">
        <x:v>RESEARCH QUESTION
Where does reported online fraud impose the greatest economic harm—and do income, internet access, and demographic differences help explain the geography?</x:v>
      </x:c>
      <x:c r="B6" s="27"/>
      <x:c r="C6" s="27"/>
      <x:c r="D6" s="27"/>
      <x:c r="E6" s="27"/>
      <x:c r="F6" s="27"/>
      <x:c r="G6" s="27"/>
      <x:c r="H6" s="27"/>
      <x:c r="I6" s="28"/>
      <x:c r="K6" s="37" t="str">
        <x:v>REVIEWER PATH</x:v>
      </x:c>
      <x:c r="L6" s="37"/>
      <x:c r="M6" s="37"/>
      <x:c r="N6" s="37"/>
    </x:row>
    <x:row r="7">
      <x:c r="A7" s="29"/>
      <x:c r="B7" s="30"/>
      <x:c r="C7" s="30"/>
      <x:c r="D7" s="30"/>
      <x:c r="E7" s="30"/>
      <x:c r="F7" s="30"/>
      <x:c r="G7" s="30"/>
      <x:c r="H7" s="30"/>
      <x:c r="I7" s="31"/>
      <x:c r="K7" s="57" t="str">
        <x:v>1. Compare states in Interactive Econ Lab
2. Diagnose mechanisms in State Scorecard
3. Stress-test assumptions in Scenario Lab
4. Review the panel evidence
5. Audit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0"/>
      <x:c r="L10" s="61"/>
      <x:c r="M10" s="61"/>
      <x:c r="N10" s="62"/>
    </x:row>
    <x:row r="11">
      <x:c r="K11" s="63"/>
      <x:c r="L11" s="64"/>
      <x:c r="M11" s="64"/>
      <x:c r="N11"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residents report fraud,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consistently report greater losses, but the within-state estimate is imprecise. The project therefore documents a robust geographic association—not a causal effect of income growth on fraud.</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1"/>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SCAM GEOGRAPHY — INTERACTIVE ECONOMICS LAB</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Change the yellow cells. Every result below updates from the 2022–2025 state panel.</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39" t="n">
        <x:v>2025</x:v>
      </x:c>
      <x:c r="B6" s="340"/>
      <x:c r="C6" s="341"/>
      <x:c r="D6" s="339" t="str">
        <x:v>North Carolina</x:v>
      </x:c>
      <x:c r="E6" s="340"/>
      <x:c r="F6" s="341"/>
      <x:c r="G6" s="339" t="str">
        <x:v>California</x:v>
      </x:c>
      <x:c r="H6" s="340"/>
      <x:c r="I6" s="341"/>
      <x:c r="J6" s="339" t="str">
        <x:v>Loss per capita</x:v>
      </x:c>
      <x:c r="K6" s="340"/>
      <x:c r="L6" s="341"/>
    </x:row>
    <x:row r="7">
      <x:c r="A7" s="342"/>
      <x:c r="B7" s="343"/>
      <x:c r="C7" s="344"/>
      <x:c r="D7" s="342"/>
      <x:c r="E7" s="343"/>
      <x:c r="F7" s="344"/>
      <x:c r="G7" s="342"/>
      <x:c r="H7" s="343"/>
      <x:c r="I7" s="344"/>
      <x:c r="J7" s="342"/>
      <x:c r="K7" s="343"/>
      <x:c r="L7" s="34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residents report fraud, because each complaint is costlier, or both.</x:v>
      </x:c>
      <x:c r="I10" s="161"/>
      <x:c r="J10" s="161"/>
      <x:c r="K10" s="161"/>
      <x:c r="L10" s="161"/>
      <x:c r="M10" s="162"/>
    </x:row>
    <x:row r="11">
      <x:c r="A11" t="str">
        <x:f>$J$6</x:f>
        <x:v>Loss per capita</x:v>
      </x:c>
      <x:c r="B11" s="345" t="n">
        <x:f>IF($J$6="Loss per capita",SUMIFS('Panel Data'!$L$2:$L$205,'Panel Data'!$A$2:$A$205,$A$6,'Panel Data'!$B$2:$B$205,$D$6),IF($J$6="Complaints per 100k",SUMIFS('Panel Data'!$K$2:$K$205,'Panel Data'!$A$2:$A$205,$A$6,'Panel Data'!$B$2:$B$205,$D$6),SUMIFS('Panel Data'!$M$2:$M$205,'Panel Data'!$A$2:$A$205,$A$6,'Panel Data'!$B$2:$B$205,$D$6)))</x:f>
        <x:v>39.06941683269926</x:v>
      </x:c>
      <x:c r="C11" s="345" t="n">
        <x:f>IF($J$6="Loss per capita",SUMIFS('Panel Data'!$L$2:$L$205,'Panel Data'!$A$2:$A$205,$A$6,'Panel Data'!$B$2:$B$205,$G$6),IF($J$6="Complaints per 100k",SUMIFS('Panel Data'!$K$2:$K$205,'Panel Data'!$A$2:$A$205,$A$6,'Panel Data'!$B$2:$B$205,$G$6),SUMIFS('Panel Data'!$M$2:$M$205,'Panel Data'!$A$2:$A$205,$A$6,'Panel Data'!$B$2:$B$205,$G$6)))</x:f>
        <x:v>93.1929648056163</x:v>
      </x:c>
      <x:c r="D11" s="34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4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4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4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45" t="n">
        <x:f>IF($J$6="Loss per capita",SUMIFS('Panel Data'!$L$2:$L$205,'Panel Data'!$A$2:$A$205,$A19,'Panel Data'!$B$2:$B$205,$D$6),IF($J$6="Complaints per 100k",SUMIFS('Panel Data'!$K$2:$K$205,'Panel Data'!$A$2:$A$205,$A19,'Panel Data'!$B$2:$B$205,$D$6),SUMIFS('Panel Data'!$M$2:$M$205,'Panel Data'!$A$2:$A$205,$A19,'Panel Data'!$B$2:$B$205,$D$6)))</x:f>
        <x:v>16.628930159540722</x:v>
      </x:c>
      <x:c r="C19" s="34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45" t="n">
        <x:f>IF($J$6="Loss per capita",SUMIFS('Panel Data'!$L$2:$L$205,'Panel Data'!$A$2:$A$205,$A20,'Panel Data'!$B$2:$B$205,$D$6),IF($J$6="Complaints per 100k",SUMIFS('Panel Data'!$K$2:$K$205,'Panel Data'!$A$2:$A$205,$A20,'Panel Data'!$B$2:$B$205,$D$6),SUMIFS('Panel Data'!$M$2:$M$205,'Panel Data'!$A$2:$A$205,$A20,'Panel Data'!$B$2:$B$205,$D$6)))</x:f>
        <x:v>21.962130196982457</x:v>
      </x:c>
      <x:c r="C20" s="34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45" t="n">
        <x:f>IF($J$6="Loss per capita",SUMIFS('Panel Data'!$L$2:$L$205,'Panel Data'!$A$2:$A$205,$A21,'Panel Data'!$B$2:$B$205,$D$6),IF($J$6="Complaints per 100k",SUMIFS('Panel Data'!$K$2:$K$205,'Panel Data'!$A$2:$A$205,$A21,'Panel Data'!$B$2:$B$205,$D$6),SUMIFS('Panel Data'!$M$2:$M$205,'Panel Data'!$A$2:$A$205,$A21,'Panel Data'!$B$2:$B$205,$D$6)))</x:f>
        <x:v>29.928311232042923</x:v>
      </x:c>
      <x:c r="C21" s="34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45" t="n">
        <x:f>IF($J$6="Loss per capita",SUMIFS('Panel Data'!$L$2:$L$205,'Panel Data'!$A$2:$A$205,$A22,'Panel Data'!$B$2:$B$205,$D$6),IF($J$6="Complaints per 100k",SUMIFS('Panel Data'!$K$2:$K$205,'Panel Data'!$A$2:$A$205,$A22,'Panel Data'!$B$2:$B$205,$D$6),SUMIFS('Panel Data'!$M$2:$M$205,'Panel Data'!$A$2:$A$205,$A22,'Panel Data'!$B$2:$B$205,$D$6)))</x:f>
        <x:v>39.06941683269926</x:v>
      </x:c>
      <x:c r="C22" s="34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352" t="str">
        <x:v>Try this:
1. Compare North Carolina with California.
2. Switch the outcome from loss/person to complaints/100K.
3. Change the year.
4. Explain whether exposure or severity drives the gap.</x:v>
      </x:c>
      <x:c r="B33" s="352"/>
      <x:c r="C33" s="352"/>
      <x:c r="E33" s="349" t="str">
        <x:v>ECONOMICS VERDICT
The between-state relationship is strong and survives outlier checks. The within-state estimate is imprecise, so this project supports a geographic association—not a causal claim that rising income produces fraud losses.</x:v>
      </x:c>
      <x:c r="F33" s="349"/>
      <x:c r="G33" s="349"/>
      <x:c r="H33" s="349"/>
      <x:c r="I33" s="349"/>
      <x:c r="J33" s="349"/>
      <x:c r="K33" s="349"/>
      <x:c r="L33" s="349"/>
      <x:c r="M33" s="349"/>
    </x:row>
    <x:row r="34">
      <x:c r="A34" s="352"/>
      <x:c r="B34" s="352"/>
      <x:c r="C34" s="352"/>
      <x:c r="E34" s="349"/>
      <x:c r="F34" s="349"/>
      <x:c r="G34" s="349"/>
      <x:c r="H34" s="349"/>
      <x:c r="I34" s="349"/>
      <x:c r="J34" s="349"/>
      <x:c r="K34" s="349"/>
      <x:c r="L34" s="349"/>
      <x:c r="M34" s="349"/>
    </x:row>
    <x:row r="35">
      <x:c r="A35" s="352"/>
      <x:c r="B35" s="352"/>
      <x:c r="C35" s="352"/>
      <x:c r="E35" s="349"/>
      <x:c r="F35" s="349"/>
      <x:c r="G35" s="349"/>
      <x:c r="H35" s="349"/>
      <x:c r="I35" s="349"/>
      <x:c r="J35" s="349"/>
      <x:c r="K35" s="349"/>
      <x:c r="L35" s="349"/>
      <x:c r="M35" s="349"/>
    </x:row>
    <x:row r="36">
      <x:c r="A36" s="352"/>
      <x:c r="B36" s="352"/>
      <x:c r="C36" s="352"/>
      <x:c r="E36" s="349"/>
      <x:c r="F36" s="349"/>
      <x:c r="G36" s="349"/>
      <x:c r="H36" s="349"/>
      <x:c r="I36" s="349"/>
      <x:c r="J36" s="349"/>
      <x:c r="K36" s="349"/>
      <x:c r="L36" s="349"/>
      <x:c r="M36" s="349"/>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6"/>
    <x:mergeCell ref="A33:C36"/>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8f7c2d75774c4a15"/>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3" hidden="0" customWidth="1"/>
    <x:col min="4" max="4" width="16" hidden="0" customWidth="1"/>
    <x:col min="5" max="5" width="11"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STATE SCORECARD — EXPOSURE, SEVERITY, AND ECONOMIC HARM</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6" t="str">
        <x:v>Choose a state and year. Percentiles compare the selected jurisdiction with all 50 states and Washington, D.C. in that year.</x:v>
      </x:c>
      <x:c r="B3" s="6"/>
      <x:c r="C3" s="6"/>
      <x:c r="D3" s="6"/>
      <x:c r="E3" s="6"/>
      <x:c r="F3" s="6"/>
      <x:c r="G3" s="6"/>
      <x:c r="H3" s="6"/>
      <x:c r="I3" s="6"/>
      <x:c r="J3" s="6"/>
      <x:c r="K3" s="6"/>
      <x:c r="L3" s="6"/>
      <x:c r="M3" s="6"/>
      <x:c r="N3" s="6"/>
    </x:row>
    <x:row r="5">
      <x:c r="A5" s="68" t="str">
        <x:v>State</x:v>
      </x:c>
      <x:c r="B5" s="68"/>
      <x:c r="C5" s="68"/>
      <x:c r="D5" s="68" t="str">
        <x:v>Year</x:v>
      </x:c>
      <x:c r="E5" s="68"/>
      <x:c r="F5" s="68"/>
      <x:c r="H5" s="37" t="str">
        <x:v>LOSS / PERSON</x:v>
      </x:c>
      <x:c r="I5" s="37"/>
      <x:c r="J5" s="37"/>
      <x:c r="K5" s="37" t="str">
        <x:v>MEDIAN INCOME</x:v>
      </x:c>
      <x:c r="L5" s="37"/>
      <x:c r="M5" s="37"/>
    </x:row>
    <x:row r="6">
      <x:c r="A6" s="339" t="str">
        <x:v>North Carolina</x:v>
      </x:c>
      <x:c r="B6" s="340"/>
      <x:c r="C6" s="341"/>
      <x:c r="D6" s="339" t="n">
        <x:v>2025</x:v>
      </x:c>
      <x:c r="E6" s="340"/>
      <x:c r="F6" s="341"/>
      <x:c r="H6" s="380" t="n">
        <x:f>SUMIFS('Panel Data'!$L$2:$L$205,'Panel Data'!$A$2:$A$205,$D$6,'Panel Data'!$B$2:$B$205,$A$6)</x:f>
        <x:v>39.06941683269926</x:v>
      </x:c>
      <x:c r="I6" s="381"/>
      <x:c r="J6" s="382"/>
      <x:c r="K6" s="389" t="n">
        <x:f>SUMIFS('Panel Data'!$F$2:$F$205,'Panel Data'!$A$2:$A$205,$D$6,'Panel Data'!$B$2:$B$205,$A$6)</x:f>
        <x:v>73958</x:v>
      </x:c>
      <x:c r="L6" s="381"/>
      <x:c r="M6" s="382"/>
    </x:row>
    <x:row r="7">
      <x:c r="A7" s="342"/>
      <x:c r="B7" s="343"/>
      <x:c r="C7" s="344"/>
      <x:c r="D7" s="342"/>
      <x:c r="E7" s="343"/>
      <x:c r="F7" s="344"/>
      <x:c r="H7" s="383"/>
      <x:c r="I7" s="384"/>
      <x:c r="J7" s="385"/>
      <x:c r="K7" s="383"/>
      <x:c r="L7" s="384"/>
      <x:c r="M7" s="385"/>
    </x:row>
    <x:row r="9">
      <x:c r="H9" s="365" t="str">
        <x:v>PROFILE QUADRANT</x:v>
      </x:c>
      <x:c r="I9" s="365"/>
      <x:c r="J9" s="365"/>
    </x:row>
    <x:row r="10">
      <x:c r="A10" s="390" t="str">
        <x:v>Economic dimension</x:v>
      </x:c>
      <x:c r="B10" s="390" t="str">
        <x:v>Selected value</x:v>
      </x:c>
      <x:c r="C10" s="390" t="str">
        <x:v>Percentile</x:v>
      </x:c>
      <x:c r="D10" s="390" t="str">
        <x:v>Interpretation</x:v>
      </x:c>
      <x:c r="E10" s="390" t="str">
        <x:v>Rank / 51</x:v>
      </x:c>
      <x:c r="H10" s="418" t="str">
        <x:f>IF(C11&gt;=0.5,IF(C12&gt;=0.5,"HIGH EXPOSURE / HIGH SEVERITY","HIGH EXPOSURE / LOWER SEVERITY"),IF(C12&gt;=0.5,"LOWER EXPOSURE / HIGH SEVERITY","LOWER EXPOSURE / LOWER SEVERITY"))</x:f>
        <x:v>LOWER EXPOSURE / LOWER SEVERITY</x:v>
      </x:c>
      <x:c r="I10" s="419"/>
      <x:c r="J10" s="419"/>
      <x:c r="K10" s="419"/>
      <x:c r="L10" s="419"/>
      <x:c r="M10" s="420"/>
    </x:row>
    <x:row r="11">
      <x:c r="A11" t="str">
        <x:v>Reported exposure</x:v>
      </x:c>
      <x:c r="B11" s="318" t="n">
        <x:f>SUMIFS('Panel Data'!$K$2:$K$205,'Panel Data'!$A$2:$A$205,$D$6,'Panel Data'!$B$2:$B$205,$A$6)</x:f>
        <x:v>234.835629544169</x:v>
      </x:c>
      <x:c r="C11" s="69" t="n">
        <x:f>1-COUNTIFS('Panel Data'!$A$2:$A$205,$D$6,'Panel Data'!$K$2:$K$205,"&gt;"&amp;B11)/50</x:f>
        <x:v>0.4</x:v>
      </x:c>
      <x:c r="D11" t="str">
        <x:f>IF(C11&gt;=0.75,"High",IF(C11&gt;=0.25,"Middle","Low"))</x:f>
        <x:v>Middle</x:v>
      </x:c>
      <x:c r="E11" t="n">
        <x:f>1+COUNTIFS('Panel Data'!$A$2:$A$205,$D$6,'Panel Data'!$K$2:$K$205,"&gt;"&amp;B11)</x:f>
        <x:v>31</x:v>
      </x:c>
      <x:c r="H11" s="421"/>
      <x:c r="I11" s="422"/>
      <x:c r="J11" s="422"/>
      <x:c r="K11" s="422"/>
      <x:c r="L11" s="422"/>
      <x:c r="M11" s="423"/>
    </x:row>
    <x:row r="12">
      <x:c r="A12" t="str">
        <x:v>Loss severity</x:v>
      </x:c>
      <x:c r="B12" s="226" t="n">
        <x:f>SUMIFS('Panel Data'!$M$2:$M$205,'Panel Data'!$A$2:$A$205,$D$6,'Panel Data'!$B$2:$B$205,$A$6)</x:f>
        <x:v>16636.92043176561</x:v>
      </x:c>
      <x:c r="C12" s="69" t="n">
        <x:f>1-COUNTIFS('Panel Data'!$A$2:$A$205,$D$6,'Panel Data'!$M$2:$M$205,"&gt;"&amp;B12)/50</x:f>
        <x:v>0.28</x:v>
      </x:c>
      <x:c r="D12" t="str">
        <x:f>IF(C12&gt;=0.75,"High",IF(C12&gt;=0.25,"Middle","Low"))</x:f>
        <x:v>Middle</x:v>
      </x:c>
      <x:c r="E12" t="n">
        <x:f>1+COUNTIFS('Panel Data'!$A$2:$A$205,$D$6,'Panel Data'!$M$2:$M$205,"&gt;"&amp;B12)</x:f>
        <x:v>37</x:v>
      </x:c>
      <x:c r="H12" s="424"/>
      <x:c r="I12" s="425"/>
      <x:c r="J12" s="425"/>
      <x:c r="K12" s="425"/>
      <x:c r="L12" s="425"/>
      <x:c r="M12" s="426"/>
    </x:row>
    <x:row r="13">
      <x:c r="A13" t="str">
        <x:v>Overall harm</x:v>
      </x:c>
      <x:c r="B13" s="225" t="n">
        <x:f>$H$6</x:f>
        <x:v>39.06941683269926</x:v>
      </x:c>
      <x:c r="C13" s="69" t="n">
        <x:f>1-COUNTIFS('Panel Data'!$A$2:$A$205,$D$6,'Panel Data'!$L$2:$L$205,"&gt;"&amp;B13)/50</x:f>
        <x:v>0.28</x:v>
      </x:c>
      <x:c r="D13" t="str">
        <x:f>IF(C13&gt;=0.75,"High",IF(C13&gt;=0.25,"Middle","Low"))</x:f>
        <x:v>Middle</x:v>
      </x:c>
      <x:c r="E13" t="n">
        <x:f>1+COUNTIFS('Panel Data'!$A$2:$A$205,$D$6,'Panel Data'!$L$2:$L$205,"&gt;"&amp;B13)</x:f>
        <x:v>37</x:v>
      </x:c>
    </x:row>
    <x:row r="16">
      <x:c r="A16" s="67" t="str">
        <x:v>FOUR-YEAR PROFILE</x:v>
      </x:c>
      <x:c r="B16" s="67"/>
      <x:c r="C16" s="67"/>
      <x:c r="D16" s="67"/>
      <x:c r="E16" s="67"/>
      <x:c r="F16" s="67"/>
    </x:row>
    <x:row r="17">
      <x:c r="A17" s="224" t="str">
        <x:v>Year</x:v>
      </x:c>
      <x:c r="B17" s="224" t="str">
        <x:v>Exposure</x:v>
      </x:c>
      <x:c r="C17" s="224" t="str">
        <x:v>Severity</x:v>
      </x:c>
      <x:c r="D17" s="224" t="str">
        <x:v>Loss / person</x:v>
      </x:c>
    </x:row>
    <x:row r="18">
      <x:c r="A18" t="n">
        <x:v>2022</x:v>
      </x:c>
      <x:c r="B18" s="318" t="n">
        <x:f>SUMIFS('Panel Data'!$K$2:$K$205,'Panel Data'!$A$2:$A$205,$A18,'Panel Data'!$B$2:$B$205,$A$6)</x:f>
        <x:v>100.02689751138311</x:v>
      </x:c>
      <x:c r="C18" s="226" t="n">
        <x:f>SUMIFS('Panel Data'!$M$2:$M$205,'Panel Data'!$A$2:$A$205,$A18,'Panel Data'!$B$2:$B$205,$A$6)</x:f>
        <x:v>16624.45859389805</x:v>
      </x:c>
      <x:c r="D18" s="225" t="n">
        <x:f>SUMIFS('Panel Data'!$L$2:$L$205,'Panel Data'!$A$2:$A$205,$A18,'Panel Data'!$B$2:$B$205,$A$6)</x:f>
        <x:v>16.628930159540722</x:v>
      </x:c>
    </x:row>
    <x:row r="19">
      <x:c r="A19" t="n">
        <x:v>2023</x:v>
      </x:c>
      <x:c r="B19" s="318" t="n">
        <x:f>SUMIFS('Panel Data'!$K$2:$K$205,'Panel Data'!$A$2:$A$205,$A19,'Panel Data'!$B$2:$B$205,$A$6)</x:f>
        <x:v>114.79606500549166</x:v>
      </x:c>
      <x:c r="C19" s="226" t="n">
        <x:f>SUMIFS('Panel Data'!$M$2:$M$205,'Panel Data'!$A$2:$A$205,$A19,'Panel Data'!$B$2:$B$205,$A$6)</x:f>
        <x:v>19131.43120013027</x:v>
      </x:c>
      <x:c r="D19" s="225" t="n">
        <x:f>SUMIFS('Panel Data'!$L$2:$L$205,'Panel Data'!$A$2:$A$205,$A19,'Panel Data'!$B$2:$B$205,$A$6)</x:f>
        <x:v>21.962130196982457</x:v>
      </x:c>
    </x:row>
    <x:row r="20">
      <x:c r="A20" t="n">
        <x:v>2024</x:v>
      </x:c>
      <x:c r="B20" s="318" t="n">
        <x:f>SUMIFS('Panel Data'!$K$2:$K$205,'Panel Data'!$A$2:$A$205,$A20,'Panel Data'!$B$2:$B$205,$A$6)</x:f>
        <x:v>203.2302920098406</x:v>
      </x:c>
      <x:c r="C20" s="226" t="n">
        <x:f>SUMIFS('Panel Data'!$M$2:$M$205,'Panel Data'!$A$2:$A$205,$A20,'Panel Data'!$B$2:$B$205,$A$6)</x:f>
        <x:v>14726.304300440488</x:v>
      </x:c>
      <x:c r="D20" s="225" t="n">
        <x:f>SUMIFS('Panel Data'!$L$2:$L$205,'Panel Data'!$A$2:$A$205,$A20,'Panel Data'!$B$2:$B$205,$A$6)</x:f>
        <x:v>29.928311232042923</x:v>
      </x:c>
    </x:row>
    <x:row r="21">
      <x:c r="A21" t="n">
        <x:v>2025</x:v>
      </x:c>
      <x:c r="B21" s="318" t="n">
        <x:f>SUMIFS('Panel Data'!$K$2:$K$205,'Panel Data'!$A$2:$A$205,$A21,'Panel Data'!$B$2:$B$205,$A$6)</x:f>
        <x:v>234.835629544169</x:v>
      </x:c>
      <x:c r="C21" s="226" t="n">
        <x:f>SUMIFS('Panel Data'!$M$2:$M$205,'Panel Data'!$A$2:$A$205,$A21,'Panel Data'!$B$2:$B$205,$A$6)</x:f>
        <x:v>16636.92043176561</x:v>
      </x:c>
      <x:c r="D21" s="225" t="n">
        <x:f>SUMIFS('Panel Data'!$L$2:$L$205,'Panel Data'!$A$2:$A$205,$A21,'Panel Data'!$B$2:$B$205,$A$6)</x:f>
        <x:v>39.06941683269926</x:v>
      </x:c>
    </x:row>
    <x:row r="24">
      <x:c r="A24" s="445" t="str">
        <x:v>ECONOMIC READING
Exposure measures how often residents report fraud; severity measures the average dollars lost per complaint. The quadrant prevents a single ranking from hiding the mechanism. A state can experience high total harm because exposure is elevated, losses are severe, or both.</x:v>
      </x:c>
      <x:c r="B24" s="446"/>
      <x:c r="C24" s="446"/>
      <x:c r="D24" s="446"/>
      <x:c r="E24" s="447"/>
    </x:row>
    <x:row r="25">
      <x:c r="A25" s="448"/>
      <x:c r="B25" s="449"/>
      <x:c r="C25" s="449"/>
      <x:c r="D25" s="449"/>
      <x:c r="E25" s="450"/>
    </x:row>
    <x:row r="26">
      <x:c r="A26" s="448"/>
      <x:c r="B26" s="449"/>
      <x:c r="C26" s="449"/>
      <x:c r="D26" s="449"/>
      <x:c r="E26" s="450"/>
    </x:row>
    <x:row r="27">
      <x:c r="A27" s="448"/>
      <x:c r="B27" s="449"/>
      <x:c r="C27" s="449"/>
      <x:c r="D27" s="449"/>
      <x:c r="E27" s="450"/>
    </x:row>
    <x:row r="28">
      <x:c r="A28" s="451"/>
      <x:c r="B28" s="452"/>
      <x:c r="C28" s="452"/>
      <x:c r="D28" s="452"/>
      <x:c r="E28" s="453"/>
    </x:row>
    <x:row r="31">
      <x:c r="A31" s="456" t="str">
        <x:v>CHALLENGE: Find one state with high exposure but lower severity, then another with lower exposure but high severity. What different prevention strategies might each profile suggest?</x:v>
      </x:c>
      <x:c r="B31" s="456"/>
      <x:c r="C31" s="456"/>
      <x:c r="D31" s="456"/>
      <x:c r="E31" s="456"/>
      <x:c r="F31" s="456"/>
      <x:c r="G31" s="456"/>
      <x:c r="H31" s="456"/>
      <x:c r="I31" s="456"/>
      <x:c r="J31" s="456"/>
      <x:c r="K31" s="456"/>
      <x:c r="L31" s="456"/>
      <x:c r="M31" s="456"/>
      <x:c r="N31" s="456"/>
    </x:row>
    <x:row r="32">
      <x:c r="A32" s="456"/>
      <x:c r="B32" s="456"/>
      <x:c r="C32" s="456"/>
      <x:c r="D32" s="456"/>
      <x:c r="E32" s="456"/>
      <x:c r="F32" s="456"/>
      <x:c r="G32" s="456"/>
      <x:c r="H32" s="456"/>
      <x:c r="I32" s="456"/>
      <x:c r="J32" s="456"/>
      <x:c r="K32" s="456"/>
      <x:c r="L32" s="456"/>
      <x:c r="M32" s="456"/>
      <x:c r="N32" s="456"/>
    </x:row>
    <x:row r="33">
      <x:c r="A33" s="456"/>
      <x:c r="B33" s="456"/>
      <x:c r="C33" s="456"/>
      <x:c r="D33" s="456"/>
      <x:c r="E33" s="456"/>
      <x:c r="F33" s="456"/>
      <x:c r="G33" s="456"/>
      <x:c r="H33" s="456"/>
      <x:c r="I33" s="456"/>
      <x:c r="J33" s="456"/>
      <x:c r="K33" s="456"/>
      <x:c r="L33" s="456"/>
      <x:c r="M33" s="456"/>
      <x:c r="N33" s="456"/>
    </x:row>
    <x:row r="34">
      <x:c r="A34" s="456"/>
      <x:c r="B34" s="456"/>
      <x:c r="C34" s="456"/>
      <x:c r="D34" s="456"/>
      <x:c r="E34" s="456"/>
      <x:c r="F34" s="456"/>
      <x:c r="G34" s="456"/>
      <x:c r="H34" s="456"/>
      <x:c r="I34" s="456"/>
      <x:c r="J34" s="456"/>
      <x:c r="K34" s="456"/>
      <x:c r="L34" s="456"/>
      <x:c r="M34" s="456"/>
      <x:c r="N34" s="456"/>
    </x:row>
  </x:sheetData>
  <x:mergeCells>
    <x:mergeCell ref="A1:N2"/>
    <x:mergeCell ref="A3:N3"/>
    <x:mergeCell ref="A5:C5"/>
    <x:mergeCell ref="D5:F5"/>
    <x:mergeCell ref="A6:C7"/>
    <x:mergeCell ref="D6:F7"/>
    <x:mergeCell ref="H5:J5"/>
    <x:mergeCell ref="K5:M5"/>
    <x:mergeCell ref="H9:J9"/>
    <x:mergeCell ref="H6:J7"/>
    <x:mergeCell ref="K6:M7"/>
    <x:mergeCell ref="H10:M12"/>
    <x:mergeCell ref="A16:F16"/>
    <x:mergeCell ref="A24:E28"/>
    <x:mergeCell ref="A31:N34"/>
  </x:mergeCells>
  <x:conditionalFormatting sqref="C11:C13">
    <x:cfRule type="dataBar" priority="1">
      <x:dataBar>
        <x:cfvo type="min"/>
        <x:cfvo type="max"/>
        <x:color rgb="FF2A9D8F"/>
      </x:dataBar>
      <x:extLst>
        <x:ext xmlns:x14="http://schemas.microsoft.com/office/spreadsheetml/2009/9/main" uri="{B025F937-C7B1-47D3-B67F-A62EFF666E3E}">
          <x14:id>{145E6682-420D-8C48-59AD-7E3EAA9F4932}</x14:id>
        </x:ext>
      </x:extLst>
    </x:cfRule>
  </x:conditionalFormatting>
  <x:dataValidations count="2">
    <x:dataValidation type="list" sqref="A6">
      <x:formula1>'Chart Data'!$A$2:$A$52</x:formula1>
    </x:dataValidation>
    <x:dataValidation type="list" sqref="D6">
      <x:formula1>"2022,2023,2024,2025"</x:formula1>
    </x:dataValidation>
  </x:dataValidations>
  <x:pageMargins left="0.7" right="0.7" top="0.75" bottom="0.75" header="0.3" footer="0.3"/>
  <x:drawing xmlns:r="http://schemas.openxmlformats.org/officeDocument/2006/relationships" r:id="Rce81485bf7164b44"/>
  <x:extLst>
    <x:ext xmlns:x14="http://schemas.microsoft.com/office/spreadsheetml/2009/9/main" xmlns:xm="http://schemas.microsoft.com/office/excel/2006/main" uri="{78C0D931-6437-407d-A8EE-F0AAD7539E65}">
      <x14:conditionalFormattings>
        <x14:conditionalFormatting>
          <x14:cfRule type="dataBar" priority="1" id="{145E6682-420D-8C48-59AD-7E3EAA9F4932}">
            <x14:dataBar gradient="1">
              <x14:cfvo type="min"/>
              <x14:cfvo type="max"/>
              <x14:fillColor rgb="FF2A9D8F"/>
            </x14:dataBar>
          </x14:cfRule>
          <xm:sqref>C11:C13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24" t="str">
        <x:v>SCENARIO LAB — WHAT WOULD THE MODELS IMPLY?</x:v>
      </x:c>
      <x:c r="B1" s="324"/>
      <x:c r="C1" s="324"/>
      <x:c r="D1" s="324"/>
      <x:c r="E1" s="324"/>
      <x:c r="F1" s="324"/>
      <x:c r="G1" s="324"/>
      <x:c r="H1" s="324"/>
      <x:c r="I1" s="324"/>
      <x:c r="J1" s="324"/>
      <x:c r="K1" s="324"/>
      <x:c r="L1" s="324"/>
      <x:c r="M1" s="324"/>
      <x:c r="N1" s="324"/>
    </x:row>
    <x:row r="2">
      <x:c r="A2" s="324"/>
      <x:c r="B2" s="324"/>
      <x:c r="C2" s="324"/>
      <x:c r="D2" s="324"/>
      <x:c r="E2" s="324"/>
      <x:c r="F2" s="324"/>
      <x:c r="G2" s="324"/>
      <x:c r="H2" s="324"/>
      <x:c r="I2" s="324"/>
      <x:c r="J2" s="324"/>
      <x:c r="K2" s="324"/>
      <x:c r="L2" s="324"/>
      <x:c r="M2" s="324"/>
      <x:c r="N2" s="324"/>
    </x:row>
    <x:row r="3">
      <x:c r="A3" s="354" t="str">
        <x:v>Choose a state, year, and hypothetical income change. The workbook translates each estimated elasticity into a model-implied loss-per-person scenario.</x:v>
      </x:c>
      <x:c r="B3" s="354"/>
      <x:c r="C3" s="354"/>
      <x:c r="D3" s="354"/>
      <x:c r="E3" s="354"/>
      <x:c r="F3" s="354"/>
      <x:c r="G3" s="354"/>
      <x:c r="H3" s="354"/>
      <x:c r="I3" s="354"/>
      <x:c r="J3" s="354"/>
      <x:c r="K3" s="354"/>
      <x:c r="L3" s="354"/>
      <x:c r="M3" s="354"/>
      <x:c r="N3" s="354"/>
    </x:row>
    <x:row r="5">
      <x:c r="A5" s="68" t="str">
        <x:v>State</x:v>
      </x:c>
      <x:c r="B5" s="68"/>
      <x:c r="C5" s="68"/>
      <x:c r="D5" s="68" t="str">
        <x:v>Year</x:v>
      </x:c>
      <x:c r="E5" s="68"/>
      <x:c r="F5" s="68"/>
      <x:c r="G5" s="68" t="str">
        <x:v>Income change</x:v>
      </x:c>
      <x:c r="H5" s="68"/>
      <x:c r="I5" s="68"/>
      <x:c r="K5" s="37" t="str">
        <x:v>BASELINE</x:v>
      </x:c>
      <x:c r="L5" s="37"/>
      <x:c r="M5" s="37"/>
      <x:c r="N5" s="37"/>
    </x:row>
    <x:row r="6">
      <x:c r="A6" s="339" t="str">
        <x:v>North Carolina</x:v>
      </x:c>
      <x:c r="B6" s="340"/>
      <x:c r="C6" s="341"/>
      <x:c r="D6" s="339" t="n">
        <x:v>2025</x:v>
      </x:c>
      <x:c r="E6" s="340"/>
      <x:c r="F6" s="341"/>
      <x:c r="G6" s="355" t="n">
        <x:v>0.1</x:v>
      </x:c>
      <x:c r="H6" s="340"/>
      <x:c r="I6" s="341"/>
      <x:c r="K6" s="316" t="str">
        <x:v>Median income</x:v>
      </x:c>
      <x:c r="L6" s="316" t="str">
        <x:v>Loss / person</x:v>
      </x:c>
    </x:row>
    <x:row r="7">
      <x:c r="A7" s="342"/>
      <x:c r="B7" s="343"/>
      <x:c r="C7" s="344"/>
      <x:c r="D7" s="342"/>
      <x:c r="E7" s="343"/>
      <x:c r="F7" s="344"/>
      <x:c r="G7" s="342"/>
      <x:c r="H7" s="343"/>
      <x:c r="I7" s="344"/>
      <x:c r="K7" s="362" t="n">
        <x:f>SUMIFS('Panel Data'!$F$2:$F$205,'Panel Data'!$A$2:$A$205,$D$6,'Panel Data'!$B$2:$B$205,$A$6)</x:f>
        <x:v>73958</x:v>
      </x:c>
      <x:c r="L7" s="363" t="n">
        <x:f>SUMIFS('Panel Data'!$L$2:$L$205,'Panel Data'!$A$2:$A$205,$D$6,'Panel Data'!$B$2:$B$205,$A$6)</x:f>
        <x:v>39.06941683269926</x:v>
      </x:c>
    </x:row>
    <x:row r="10">
      <x:c r="A10" s="36" t="str">
        <x:v>MODEL-IMPLIED LOSS PER PERSON</x:v>
      </x:c>
      <x:c r="B10" s="36"/>
      <x:c r="C10" s="36"/>
      <x:c r="D10" s="36"/>
      <x:c r="E10" s="36"/>
      <x:c r="F10" s="36"/>
      <x:c r="G10" s="36"/>
      <x:c r="H10" s="36"/>
    </x:row>
    <x:row r="11">
      <x:c r="A11" s="316" t="str">
        <x:v>Evidence lens</x:v>
      </x:c>
      <x:c r="B11" s="316" t="str">
        <x:v>Income elasticity</x:v>
      </x:c>
      <x:c r="C11" s="316" t="str">
        <x:v>Baseline</x:v>
      </x:c>
      <x:c r="D11" s="316" t="str">
        <x:v>Scenario</x:v>
      </x:c>
      <x:c r="E11" s="316" t="str">
        <x:v>Change</x:v>
      </x:c>
    </x:row>
    <x:row r="12">
      <x:c r="A12" t="str">
        <x:v>Pooled + year effects</x:v>
      </x:c>
      <x:c r="B12" s="263" t="n">
        <x:v>1.552</x:v>
      </x:c>
      <x:c r="C12" s="225" t="n">
        <x:f>$L$7</x:f>
        <x:v>39.06941683269926</x:v>
      </x:c>
      <x:c r="D12" s="225" t="n">
        <x:f>C12*(1+$G$6)^B12</x:f>
        <x:v>45.297932070756154</x:v>
      </x:c>
      <x:c r="E12" s="364" t="n">
        <x:f>D12/C12-1</x:f>
        <x:v>0.15942176113680606</x:v>
      </x:c>
    </x:row>
    <x:row r="13">
      <x:c r="A13" t="str">
        <x:v>State + year fixed effects</x:v>
      </x:c>
      <x:c r="B13" s="263" t="n">
        <x:v>2.188</x:v>
      </x:c>
      <x:c r="C13" s="225" t="n">
        <x:f>$L$7</x:f>
        <x:v>39.06941683269926</x:v>
      </x:c>
      <x:c r="D13" s="225" t="n">
        <x:f>C13*(1+$G$6)^B13</x:f>
        <x:v>48.12869920014451</x:v>
      </x:c>
      <x:c r="E13" s="364" t="n">
        <x:f>D13/C13-1</x:f>
        <x:v>0.23187657000969253</x:v>
      </x:c>
    </x:row>
    <x:row r="14">
      <x:c r="A14" t="str">
        <x:v>Exclude D.C. robustness</x:v>
      </x:c>
      <x:c r="B14" s="263" t="n">
        <x:v>0.887</x:v>
      </x:c>
      <x:c r="C14" s="225" t="n">
        <x:f>$L$7</x:f>
        <x:v>39.06941683269926</x:v>
      </x:c>
      <x:c r="D14" s="225" t="n">
        <x:f>C14*(1+$G$6)^B14</x:f>
        <x:v>42.51598454771643</x:v>
      </x:c>
      <x:c r="E14" s="364" t="n">
        <x:f>D14/C14-1</x:f>
        <x:v>0.0882165129255923</x:v>
      </x:c>
    </x:row>
    <x:row r="17">
      <x:c r="A17" s="112" t="str">
        <x:v>HOW TO READ IT</x:v>
      </x:c>
      <x:c r="B17" s="112"/>
      <x:c r="C17" s="112"/>
      <x:c r="D17" s="112"/>
      <x:c r="E17" s="112"/>
    </x:row>
    <x:row r="18">
      <x:c r="A18" s="160" t="str">
        <x:v>Elasticity translates percentage changes into model-implied outcome changes. For example, an elasticity of 1.55 means a 10% income difference is associated with roughly a 15.9% difference in loss per person using the exact power formula.
Compare the three rows. Their spread is model uncertainty—not three competing facts.</x:v>
      </x:c>
      <x:c r="B18" s="161"/>
      <x:c r="C18" s="161"/>
      <x:c r="D18" s="161"/>
      <x:c r="E18" s="162"/>
    </x:row>
    <x:row r="19">
      <x:c r="A19" s="163"/>
      <x:c r="B19" s="164"/>
      <x:c r="C19" s="164"/>
      <x:c r="D19" s="164"/>
      <x:c r="E19" s="165"/>
    </x:row>
    <x:row r="20">
      <x:c r="A20" s="163"/>
      <x:c r="B20" s="164"/>
      <x:c r="C20" s="164"/>
      <x:c r="D20" s="164"/>
      <x:c r="E20" s="165"/>
    </x:row>
    <x:row r="21">
      <x:c r="A21" s="163"/>
      <x:c r="B21" s="164"/>
      <x:c r="C21" s="164"/>
      <x:c r="D21" s="164"/>
      <x:c r="E21" s="165"/>
    </x:row>
    <x:row r="22">
      <x:c r="A22" s="163"/>
      <x:c r="B22" s="164"/>
      <x:c r="C22" s="164"/>
      <x:c r="D22" s="164"/>
      <x:c r="E22" s="165"/>
    </x:row>
    <x:row r="23">
      <x:c r="A23" s="163"/>
      <x:c r="B23" s="164"/>
      <x:c r="C23" s="164"/>
      <x:c r="D23" s="164"/>
      <x:c r="E23" s="165"/>
    </x:row>
    <x:row r="24">
      <x:c r="A24" s="166"/>
      <x:c r="B24" s="167"/>
      <x:c r="C24" s="167"/>
      <x:c r="D24" s="167"/>
      <x:c r="E24" s="168"/>
    </x:row>
    <x:row r="27">
      <x:c r="A27" s="349" t="str">
        <x:v>IMPORTANT: THIS IS NOT A CAUSAL FORECAST
The elasticities describe associations in state-level data. Changing income alone would not mechanically cause the displayed change in fraud loss. Reporting behavior, target value, internet exposure, enforcement, and omitted state characteristics may all contribute. Use this lab to study sensitivity and identification—not to predict policy effects.</x:v>
      </x:c>
      <x:c r="B27" s="349"/>
      <x:c r="C27" s="349"/>
      <x:c r="D27" s="349"/>
      <x:c r="E27" s="349"/>
      <x:c r="F27" s="349"/>
      <x:c r="G27" s="349"/>
      <x:c r="H27" s="349"/>
      <x:c r="I27" s="349"/>
      <x:c r="J27" s="349"/>
      <x:c r="K27" s="349"/>
      <x:c r="L27" s="349"/>
      <x:c r="M27" s="349"/>
      <x:c r="N27" s="349"/>
    </x:row>
    <x:row r="28">
      <x:c r="A28" s="349"/>
      <x:c r="B28" s="349"/>
      <x:c r="C28" s="349"/>
      <x:c r="D28" s="349"/>
      <x:c r="E28" s="349"/>
      <x:c r="F28" s="349"/>
      <x:c r="G28" s="349"/>
      <x:c r="H28" s="349"/>
      <x:c r="I28" s="349"/>
      <x:c r="J28" s="349"/>
      <x:c r="K28" s="349"/>
      <x:c r="L28" s="349"/>
      <x:c r="M28" s="349"/>
      <x:c r="N28" s="349"/>
    </x:row>
    <x:row r="29">
      <x:c r="A29" s="349"/>
      <x:c r="B29" s="349"/>
      <x:c r="C29" s="349"/>
      <x:c r="D29" s="349"/>
      <x:c r="E29" s="349"/>
      <x:c r="F29" s="349"/>
      <x:c r="G29" s="349"/>
      <x:c r="H29" s="349"/>
      <x:c r="I29" s="349"/>
      <x:c r="J29" s="349"/>
      <x:c r="K29" s="349"/>
      <x:c r="L29" s="349"/>
      <x:c r="M29" s="349"/>
      <x:c r="N29" s="349"/>
    </x:row>
    <x:row r="30">
      <x:c r="A30" s="349"/>
      <x:c r="B30" s="349"/>
      <x:c r="C30" s="349"/>
      <x:c r="D30" s="349"/>
      <x:c r="E30" s="349"/>
      <x:c r="F30" s="349"/>
      <x:c r="G30" s="349"/>
      <x:c r="H30" s="349"/>
      <x:c r="I30" s="349"/>
      <x:c r="J30" s="349"/>
      <x:c r="K30" s="349"/>
      <x:c r="L30" s="349"/>
      <x:c r="M30" s="349"/>
      <x:c r="N30" s="349"/>
    </x:row>
    <x:row r="31">
      <x:c r="A31" s="349"/>
      <x:c r="B31" s="349"/>
      <x:c r="C31" s="349"/>
      <x:c r="D31" s="349"/>
      <x:c r="E31" s="349"/>
      <x:c r="F31" s="349"/>
      <x:c r="G31" s="349"/>
      <x:c r="H31" s="349"/>
      <x:c r="I31" s="349"/>
      <x:c r="J31" s="349"/>
      <x:c r="K31" s="349"/>
      <x:c r="L31" s="349"/>
      <x:c r="M31" s="349"/>
      <x:c r="N31" s="349"/>
    </x:row>
    <x:row r="33">
      <x:c r="A33" s="354" t="str">
        <x:v>CHALLENGE: Set income change to +10%. Which specification produces the smallest implied change? Why might the fixed-effects estimate be less precise even though its point estimate is larger?</x:v>
      </x:c>
      <x:c r="B33" s="354"/>
      <x:c r="C33" s="354"/>
      <x:c r="D33" s="354"/>
      <x:c r="E33" s="354"/>
      <x:c r="F33" s="354"/>
      <x:c r="G33" s="354"/>
      <x:c r="H33" s="354"/>
      <x:c r="I33" s="354"/>
      <x:c r="J33" s="354"/>
      <x:c r="K33" s="354"/>
      <x:c r="L33" s="354"/>
      <x:c r="M33" s="354"/>
      <x:c r="N33" s="354"/>
    </x:row>
    <x:row r="34">
      <x:c r="A34" s="354"/>
      <x:c r="B34" s="354"/>
      <x:c r="C34" s="354"/>
      <x:c r="D34" s="354"/>
      <x:c r="E34" s="354"/>
      <x:c r="F34" s="354"/>
      <x:c r="G34" s="354"/>
      <x:c r="H34" s="354"/>
      <x:c r="I34" s="354"/>
      <x:c r="J34" s="354"/>
      <x:c r="K34" s="354"/>
      <x:c r="L34" s="354"/>
      <x:c r="M34" s="354"/>
      <x:c r="N34" s="354"/>
    </x:row>
    <x:row r="35">
      <x:c r="A35" s="354"/>
      <x:c r="B35" s="354"/>
      <x:c r="C35" s="354"/>
      <x:c r="D35" s="354"/>
      <x:c r="E35" s="354"/>
      <x:c r="F35" s="354"/>
      <x:c r="G35" s="354"/>
      <x:c r="H35" s="354"/>
      <x:c r="I35" s="354"/>
      <x:c r="J35" s="354"/>
      <x:c r="K35" s="354"/>
      <x:c r="L35" s="354"/>
      <x:c r="M35" s="354"/>
      <x:c r="N35" s="354"/>
    </x:row>
  </x:sheetData>
  <x:mergeCells>
    <x:mergeCell ref="A1:N2"/>
    <x:mergeCell ref="A3:N3"/>
    <x:mergeCell ref="A5:C5"/>
    <x:mergeCell ref="D5:F5"/>
    <x:mergeCell ref="G5:I5"/>
    <x:mergeCell ref="A6:C7"/>
    <x:mergeCell ref="D6:F7"/>
    <x:mergeCell ref="G6:I7"/>
    <x:mergeCell ref="K5:N5"/>
    <x:mergeCell ref="A10:H10"/>
    <x:mergeCell ref="A17:E17"/>
    <x:mergeCell ref="A18:E24"/>
    <x:mergeCell ref="A27:N31"/>
    <x:mergeCell ref="A33:N35"/>
  </x:mergeCells>
  <x:conditionalFormatting sqref="E12:E14">
    <x:cfRule type="dataBar" priority="1">
      <x:dataBar>
        <x:cfvo type="min"/>
        <x:cfvo type="max"/>
        <x:color rgb="FF2A9D8F"/>
      </x:dataBar>
      <x:extLst>
        <x:ext xmlns:x14="http://schemas.microsoft.com/office/spreadsheetml/2009/9/main" uri="{B025F937-C7B1-47D3-B67F-A62EFF666E3E}">
          <x14:id>{CB2FE225-2CFD-8AD7-C75C-B7D01DF273F4}</x14:id>
        </x:ext>
      </x:extLst>
    </x:cfRule>
  </x:conditionalFormatting>
  <x:dataValidations count="3">
    <x:dataValidation type="list" sqref="A6">
      <x:formula1>'Chart Data'!$A$2:$A$52</x:formula1>
    </x:dataValidation>
    <x:dataValidation type="list" sqref="D6">
      <x:formula1>"2022,2023,2024,2025"</x:formula1>
    </x:dataValidation>
    <x:dataValidation type="decimal" operator="between" sqref="G6">
      <x:formula1>-0.5</x:formula1>
      <x:formula2>1</x:formula2>
    </x:dataValidation>
  </x:dataValidations>
  <x:pageMargins left="0.7" right="0.7" top="0.75" bottom="0.75" header="0.3" footer="0.3"/>
  <x:drawing xmlns:r="http://schemas.openxmlformats.org/officeDocument/2006/relationships" r:id="R3a2c722445934657"/>
  <x:extLst>
    <x:ext xmlns:x14="http://schemas.microsoft.com/office/spreadsheetml/2009/9/main" xmlns:xm="http://schemas.microsoft.com/office/excel/2006/main" uri="{78C0D931-6437-407d-A8EE-F0AAD7539E65}">
      <x14:conditionalFormattings>
        <x14:conditionalFormatting>
          <x14:cfRule type="dataBar" priority="1" id="{CB2FE225-2CFD-8AD7-C75C-B7D01DF273F4}">
            <x14:dataBar gradient="1">
              <x14:cfvo type="min"/>
              <x14:cfvo type="max"/>
              <x14:fillColor rgb="FF2A9D8F"/>
            </x14:dataBar>
          </x14:cfRule>
          <xm:sqref>E12:E14</xm:sqref>
        </x14:conditionalFormatting>
      </x14:conditionalFormattings>
    </x:ext>
  </x:extLst>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Online Fraud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685c14d942a84026"/>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Next-level evidence: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What the stronger design changes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A30" s="257" t="str">
        <x:v>Identification verdict: adding years improves power and lets the project separate permanent geographic differences from changes within a state. The fixed-effects model does not confirm a causal income effect, so the paper treats income as a marker of target value and correlated state characteristics.</x:v>
      </x:c>
      <x:c r="B30" s="257"/>
      <x:c r="C30" s="257"/>
      <x:c r="D30" s="257"/>
      <x:c r="E30" s="257"/>
      <x:c r="F30" s="257"/>
      <x:c r="G30" s="257"/>
      <x:c r="H30" s="257" t="n">
        <x:v>2025</x:v>
      </x:c>
      <x:c r="I30" s="257" t="str">
        <x:v>Midwest</x:v>
      </x:c>
      <x:c r="J30" s="322" t="n">
        <x:v>38.10106403927721</x:v>
      </x:c>
      <x:c r="K30" s="257"/>
      <x:c r="L30" s="257"/>
      <x:c r="M30" s="257"/>
      <x:c r="N30" s="257"/>
    </x:row>
    <x:row r="31">
      <x:c r="A31" s="257"/>
      <x:c r="B31" s="257"/>
      <x:c r="C31" s="257"/>
      <x:c r="D31" s="257"/>
      <x:c r="E31" s="257"/>
      <x:c r="F31" s="257"/>
      <x:c r="G31" s="257"/>
      <x:c r="H31" s="257" t="n">
        <x:v>2025</x:v>
      </x:c>
      <x:c r="I31" s="257" t="str">
        <x:v>Northeast</x:v>
      </x:c>
      <x:c r="J31" s="322" t="n">
        <x:v>56.52968852436764</x:v>
      </x:c>
      <x:c r="K31" s="257"/>
      <x:c r="L31" s="257"/>
      <x:c r="M31" s="257"/>
      <x:c r="N31" s="257"/>
    </x:row>
    <x:row r="32">
      <x:c r="A32" s="257"/>
      <x:c r="B32" s="257"/>
      <x:c r="C32" s="257"/>
      <x:c r="D32" s="257"/>
      <x:c r="E32" s="257"/>
      <x:c r="F32" s="257"/>
      <x:c r="G32" s="257"/>
      <x:c r="H32" s="257" t="n">
        <x:v>2025</x:v>
      </x:c>
      <x:c r="I32" s="257" t="str">
        <x:v>South</x:v>
      </x:c>
      <x:c r="J32" s="322" t="n">
        <x:v>50.83281948408471</x:v>
      </x:c>
      <x:c r="K32" s="257"/>
      <x:c r="L32" s="257"/>
      <x:c r="M32" s="257"/>
      <x:c r="N32" s="257"/>
    </x:row>
    <x:row r="33">
      <x:c r="A33" s="257"/>
      <x:c r="B33" s="257"/>
      <x:c r="C33" s="257"/>
      <x:c r="D33" s="257"/>
      <x:c r="E33" s="257"/>
      <x:c r="F33" s="257"/>
      <x:c r="G33" s="257"/>
      <x:c r="H33" s="257" t="n">
        <x:v>2025</x:v>
      </x:c>
      <x:c r="I33" s="257" t="str">
        <x:v>West</x:v>
      </x:c>
      <x:c r="J33" s="322" t="n">
        <x:v>77.59990114199603</x:v>
      </x:c>
      <x:c r="K33" s="257"/>
      <x:c r="L33" s="257"/>
      <x:c r="M33" s="257"/>
      <x:c r="N33" s="257"/>
    </x:row>
  </x:sheetData>
  <x:mergeCells>
    <x:mergeCell ref="A1:N2"/>
    <x:mergeCell ref="A3:N3"/>
    <x:mergeCell ref="A5:E5"/>
    <x:mergeCell ref="H5:N5"/>
    <x:mergeCell ref="H6:N14"/>
    <x:mergeCell ref="H16:N16"/>
    <x:mergeCell ref="A30:N33"/>
  </x:mergeCells>
  <x:pageMargins left="0.7" right="0.7" top="0.75" bottom="0.75" header="0.3" footer="0.3"/>
  <x:drawing xmlns:r="http://schemas.openxmlformats.org/officeDocument/2006/relationships" r:id="Rb1b5b7e860cb4a52"/>
</x:worksheet>
</file>

<file path=xl/worksheets/sheet7.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b8da9eb0600c412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64c5bc17a1cb466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c7c59e62c9324a7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da336d38c0024b1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Complaint data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