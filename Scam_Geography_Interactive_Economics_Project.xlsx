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1.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8bc3bee2b50f48bf" /></Relationships>
</file>

<file path=xl/workbook.xml><?xml version="1.0" encoding="utf-8"?>
<x:workbook xmlns:x="http://schemas.openxmlformats.org/spreadsheetml/2006/main">
  <x:sheets>
    <x:sheet xmlns:r="http://schemas.openxmlformats.org/officeDocument/2006/relationships" name="Start Here" sheetId="1" r:id="R7b3bcbd1117e4243"/>
    <x:sheet xmlns:r="http://schemas.openxmlformats.org/officeDocument/2006/relationships" name="Dashboard" sheetId="2" r:id="Rcbe497e5469e47d4"/>
    <x:sheet xmlns:r="http://schemas.openxmlformats.org/officeDocument/2006/relationships" name="State Data" sheetId="3" r:id="R2ea294a6ed274f6d"/>
    <x:sheet xmlns:r="http://schemas.openxmlformats.org/officeDocument/2006/relationships" name="Regression" sheetId="4" r:id="Rd0996dc604a1444a"/>
    <x:sheet xmlns:r="http://schemas.openxmlformats.org/officeDocument/2006/relationships" name="Sources &amp; Notes" sheetId="5" r:id="R47a48af8072a4974"/>
    <x:sheet xmlns:r="http://schemas.openxmlformats.org/officeDocument/2006/relationships" name="Chart Data" sheetId="6" r:id="R1123ad6d48844da4"/>
    <x:sheet xmlns:r="http://schemas.openxmlformats.org/officeDocument/2006/relationships" name="Panel Dashboard" sheetId="7" r:id="Re9a6b261708b4dfd"/>
    <x:sheet xmlns:r="http://schemas.openxmlformats.org/officeDocument/2006/relationships" name="Panel Data" sheetId="8" r:id="R84bd9eaaf3344eb6"/>
    <x:sheet xmlns:r="http://schemas.openxmlformats.org/officeDocument/2006/relationships" name="Panel Models" sheetId="9" r:id="R3201faeecf114164"/>
    <x:sheet xmlns:r="http://schemas.openxmlformats.org/officeDocument/2006/relationships" name="Interactive Econ Lab" sheetId="10" r:id="Rd59d8974eca346bf"/>
    <x:sheet xmlns:r="http://schemas.openxmlformats.org/officeDocument/2006/relationships" name="Scenario Lab" sheetId="11" r:id="R7d4d4114a8224a4d"/>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
    <x:numFmt numFmtId="202" formatCode="0"/>
    <x:numFmt numFmtId="203" formatCode="$#,##0"/>
    <x:numFmt numFmtId="204" formatCode="0.0"/>
    <x:numFmt numFmtId="205" formatCode="$0.00"/>
    <x:numFmt numFmtId="206" formatCode="0.0%"/>
    <x:numFmt numFmtId="207" formatCode="$0.0,,,&quot;B&quot;"/>
    <x:numFmt numFmtId="208" formatCode="0.000"/>
    <x:numFmt numFmtId="209" formatCode="0.0000"/>
    <x:numFmt numFmtId="210" formatCode="#,##0.00"/>
    <x:numFmt numFmtId="211" formatCode="+0%;-0%;0%"/>
    <x:numFmt numFmtId="212" formatCode="+0.0%;-0.0%;0.0%"/>
  </x:numFmts>
  <x:fonts count="21">
    <x:font>
      <x:sz val="11"/>
      <x:name val="Carlito"/>
    </x:font>
    <x:font>
      <x:b/>
      <x:sz val="28"/>
      <x:color rgb="FFFFFFFF"/>
      <x:name val="Carlito"/>
    </x:font>
    <x:font>
      <x:b/>
      <x:sz val="11"/>
      <x:color rgb="FF17324D"/>
      <x:name val="Carlito"/>
    </x:font>
    <x:font>
      <x:b/>
      <x:sz val="15"/>
      <x:color rgb="FF17324D"/>
      <x:name val="Carlito"/>
    </x:font>
    <x:font>
      <x:b/>
      <x:sz val="11"/>
      <x:color rgb="FFFFFFFF"/>
      <x:name val="Carlito"/>
    </x:font>
    <x:font>
      <x:sz val="11"/>
      <x:color rgb="FF17324D"/>
      <x:name val="Carlito"/>
    </x:font>
    <x:font>
      <x:b/>
      <x:sz val="24"/>
      <x:color rgb="FF17324D"/>
      <x:name val="Carlito"/>
    </x:font>
    <x:font>
      <x:b/>
      <x:sz val="13"/>
      <x:color rgb="FFFFFFFF"/>
      <x:name val="Carlito"/>
    </x:font>
    <x:font>
      <x:sz val="10"/>
      <x:color rgb="FF1A1A1A"/>
      <x:name val="Carlito"/>
    </x:font>
    <x:font>
      <x:b/>
      <x:sz val="22"/>
      <x:color rgb="FFFFFFFF"/>
      <x:name val="Carlito"/>
    </x:font>
    <x:font>
      <x:i/>
      <x:sz val="11"/>
      <x:color rgb="FF5D6873"/>
      <x:name val="Carlito"/>
    </x:font>
    <x:font>
      <x:b/>
      <x:sz val="18"/>
      <x:color rgb="FF17324D"/>
      <x:name val="Carlito"/>
    </x:font>
    <x:font>
      <x:b/>
      <x:sz val="12"/>
      <x:color rgb="FFFFFFFF"/>
      <x:name val="Carlito"/>
    </x:font>
    <x:font>
      <x:sz val="10"/>
      <x:color rgb="FF17324D"/>
      <x:name val="Carlito"/>
    </x:font>
    <x:font>
      <x:i/>
      <x:sz val="10"/>
      <x:color rgb="FF5D6873"/>
      <x:name val="Carlito"/>
    </x:font>
    <x:font>
      <x:b/>
      <x:sz val="20"/>
      <x:color rgb="FFFFFFFF"/>
      <x:name val="Carlito"/>
    </x:font>
    <x:font>
      <x:sz val="11"/>
      <x:color rgb="FF5D6873"/>
      <x:name val="Carlito"/>
    </x:font>
    <x:font>
      <x:sz val="10"/>
      <x:name val="Carlito"/>
    </x:font>
    <x:font>
      <x:b/>
      <x:sz val="21"/>
      <x:color rgb="FFFFFFFF"/>
      <x:name val="Carlito"/>
    </x:font>
    <x:font>
      <x:b/>
      <x:sz val="14"/>
      <x:color rgb="FF17324D"/>
      <x:name val="Carlito"/>
    </x:font>
    <x:font>
      <x:b/>
      <x:sz val="16"/>
      <x:color rgb="FF17324D"/>
      <x:name val="Carlito"/>
    </x:font>
  </x:fonts>
  <x:fills count="13">
    <x:fill>
      <x:patternFill patternType="none"/>
    </x:fill>
    <x:fill>
      <x:patternFill patternType="gray125"/>
    </x:fill>
    <x:fill>
      <x:patternFill patternType="solid">
        <x:fgColor rgb="FF17324D"/>
      </x:patternFill>
    </x:fill>
    <x:fill>
      <x:patternFill patternType="solid">
        <x:fgColor rgb="FFDDF25A"/>
      </x:patternFill>
    </x:fill>
    <x:fill>
      <x:patternFill patternType="solid">
        <x:fgColor rgb="FFEAF1F5"/>
      </x:patternFill>
    </x:fill>
    <x:fill>
      <x:patternFill patternType="solid">
        <x:fgColor rgb="FF2A9D8F"/>
      </x:patternFill>
    </x:fill>
    <x:fill>
      <x:patternFill patternType="solid">
        <x:fgColor rgb="FFFFFFFF"/>
      </x:patternFill>
    </x:fill>
    <x:fill>
      <x:patternFill patternType="solid">
        <x:fgColor rgb="FF246B8E"/>
      </x:patternFill>
    </x:fill>
    <x:fill>
      <x:patternFill patternType="solid">
        <x:fgColor rgb="FFD99B2B"/>
      </x:patternFill>
    </x:fill>
    <x:fill>
      <x:patternFill patternType="solid">
        <x:fgColor rgb="FFEAF7F3"/>
      </x:patternFill>
    </x:fill>
    <x:fill>
      <x:patternFill patternType="solid">
        <x:fgColor rgb="FFFFF8E8"/>
      </x:patternFill>
    </x:fill>
    <x:fill>
      <x:patternFill patternType="solid">
        <x:fgColor rgb="FFF5F7F9"/>
      </x:patternFill>
    </x:fill>
    <x:fill>
      <x:patternFill patternType="solid">
        <x:fgColor rgb="FFFFF3A6"/>
      </x:patternFill>
    </x:fill>
  </x:fills>
  <x:borders count="36">
    <x:border/>
    <x:border>
      <x:left style="thin">
        <x:color rgb="FFC5D3DC"/>
      </x:left>
      <x:top style="thin">
        <x:color rgb="FFC5D3DC"/>
      </x:top>
    </x:border>
    <x:border>
      <x:top style="thin">
        <x:color rgb="FFC5D3DC"/>
      </x:top>
    </x:border>
    <x:border>
      <x:right style="thin">
        <x:color rgb="FFC5D3DC"/>
      </x:right>
      <x:top style="thin">
        <x:color rgb="FFC5D3DC"/>
      </x:top>
    </x:border>
    <x:border>
      <x:left style="thin">
        <x:color rgb="FFC5D3DC"/>
      </x:left>
    </x:border>
    <x:border>
      <x:right style="thin">
        <x:color rgb="FFC5D3DC"/>
      </x:right>
    </x:border>
    <x:border>
      <x:left style="thin">
        <x:color rgb="FFC5D3DC"/>
      </x:left>
      <x:bottom style="thin">
        <x:color rgb="FFC5D3DC"/>
      </x:bottom>
    </x:border>
    <x:border>
      <x:bottom style="thin">
        <x:color rgb="FFC5D3DC"/>
      </x:bottom>
    </x:border>
    <x:border>
      <x:right style="thin">
        <x:color rgb="FFC5D3DC"/>
      </x:right>
      <x:bottom style="thin">
        <x:color rgb="FFC5D3DC"/>
      </x:bottom>
    </x:border>
    <x:border>
      <x:left style="thin">
        <x:color rgb="FF9BCFC5"/>
      </x:left>
      <x:top style="thin">
        <x:color rgb="FF9BCFC5"/>
      </x:top>
    </x:border>
    <x:border>
      <x:top style="thin">
        <x:color rgb="FF9BCFC5"/>
      </x:top>
    </x:border>
    <x:border>
      <x:right style="thin">
        <x:color rgb="FF9BCFC5"/>
      </x:right>
      <x:top style="thin">
        <x:color rgb="FF9BCFC5"/>
      </x:top>
    </x:border>
    <x:border>
      <x:left style="thin">
        <x:color rgb="FF9BCFC5"/>
      </x:left>
    </x:border>
    <x:border>
      <x:right style="thin">
        <x:color rgb="FF9BCFC5"/>
      </x:right>
    </x:border>
    <x:border>
      <x:left style="thin">
        <x:color rgb="FF9BCFC5"/>
      </x:left>
      <x:bottom style="thin">
        <x:color rgb="FF9BCFC5"/>
      </x:bottom>
    </x:border>
    <x:border>
      <x:bottom style="thin">
        <x:color rgb="FF9BCFC5"/>
      </x:bottom>
    </x:border>
    <x:border>
      <x:right style="thin">
        <x:color rgb="FF9BCFC5"/>
      </x:right>
      <x:bottom style="thin">
        <x:color rgb="FF9BCFC5"/>
      </x:bottom>
    </x:border>
    <x:border>
      <x:left style="thin">
        <x:color rgb="FFE4C16B"/>
      </x:left>
      <x:top style="thin">
        <x:color rgb="FFE4C16B"/>
      </x:top>
    </x:border>
    <x:border>
      <x:top style="thin">
        <x:color rgb="FFE4C16B"/>
      </x:top>
    </x:border>
    <x:border>
      <x:right style="thin">
        <x:color rgb="FFE4C16B"/>
      </x:right>
      <x:top style="thin">
        <x:color rgb="FFE4C16B"/>
      </x:top>
    </x:border>
    <x:border>
      <x:left style="thin">
        <x:color rgb="FFE4C16B"/>
      </x:left>
    </x:border>
    <x:border>
      <x:right style="thin">
        <x:color rgb="FFE4C16B"/>
      </x:right>
    </x:border>
    <x:border>
      <x:left style="thin">
        <x:color rgb="FFE4C16B"/>
      </x:left>
      <x:bottom style="thin">
        <x:color rgb="FFE4C16B"/>
      </x:bottom>
    </x:border>
    <x:border>
      <x:bottom style="thin">
        <x:color rgb="FFE4C16B"/>
      </x:bottom>
    </x:border>
    <x:border>
      <x:right style="thin">
        <x:color rgb="FFE4C16B"/>
      </x:right>
      <x:bottom style="thin">
        <x:color rgb="FFE4C16B"/>
      </x:bottom>
    </x:border>
    <x:border>
      <x:bottom style="thin">
        <x:color rgb="FFD8E0E5"/>
      </x:bottom>
    </x:border>
    <x:border>
      <x:top style="thin">
        <x:color rgb="FFD8E0E5"/>
      </x:top>
      <x:bottom style="thin">
        <x:color rgb="FFD8E0E5"/>
      </x:bottom>
    </x:border>
    <x:border>
      <x:top style="thin">
        <x:color rgb="FFD8E0E5"/>
      </x:top>
    </x:border>
    <x:border>
      <x:left style="medium">
        <x:color rgb="FFD99B2B"/>
      </x:left>
      <x:top style="medium">
        <x:color rgb="FFD99B2B"/>
      </x:top>
    </x:border>
    <x:border>
      <x:top style="medium">
        <x:color rgb="FFD99B2B"/>
      </x:top>
    </x:border>
    <x:border>
      <x:right style="medium">
        <x:color rgb="FFD99B2B"/>
      </x:right>
      <x:top style="medium">
        <x:color rgb="FFD99B2B"/>
      </x:top>
    </x:border>
    <x:border>
      <x:left style="medium">
        <x:color rgb="FFD99B2B"/>
      </x:left>
      <x:bottom style="medium">
        <x:color rgb="FFD99B2B"/>
      </x:bottom>
    </x:border>
    <x:border>
      <x:bottom style="medium">
        <x:color rgb="FFD99B2B"/>
      </x:bottom>
    </x:border>
    <x:border>
      <x:right style="medium">
        <x:color rgb="FFD99B2B"/>
      </x:right>
      <x:bottom style="medium">
        <x:color rgb="FFD99B2B"/>
      </x:bottom>
    </x:border>
    <x:border>
      <x:left style="thin">
        <x:color rgb="FFC5D3DC"/>
      </x:left>
      <x:top style="thin">
        <x:color rgb="FFC5D3DC"/>
      </x:top>
      <x:bottom style="thin">
        <x:color rgb="FFC5D3DC"/>
      </x:bottom>
    </x:border>
    <x:border>
      <x:right style="thin">
        <x:color rgb="FFC5D3DC"/>
      </x:right>
      <x:top style="thin">
        <x:color rgb="FFC5D3DC"/>
      </x:top>
      <x:bottom style="thin">
        <x:color rgb="FFC5D3DC"/>
      </x:bottom>
    </x:border>
  </x:borders>
  <x:cellStyleXfs count="1">
    <x:xf numFmtId="0" fontId="0" fillId="0" borderId="0"/>
  </x:cellStyleXfs>
  <x:cellXfs count="3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center" wrapText="1"/>
    </x:xf>
    <x:xf numFmtId="0" fontId="5" fillId="6" borderId="2" xfId="0" applyNumberFormat="1" applyFont="1" applyFill="1" applyBorder="1" applyAlignment="1">
      <x:alignment vertical="center" wrapText="1"/>
    </x:xf>
    <x:xf numFmtId="0" fontId="5" fillId="6" borderId="3" xfId="0" applyNumberFormat="1" applyFont="1" applyFill="1" applyBorder="1" applyAlignment="1">
      <x:alignment vertical="center" wrapText="1"/>
    </x:xf>
    <x:xf numFmtId="0" fontId="5" fillId="6" borderId="4"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5" fillId="6" borderId="6"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0" fontId="0" fillId="6" borderId="0" xfId="0" applyNumberFormat="1" applyFont="1" applyFill="1" applyBorder="1"/>
    <x:xf numFmtId="200" fontId="6" fillId="6" borderId="0" xfId="0" applyNumberFormat="1" applyFont="1" applyFill="1" applyBorder="1"/>
    <x:xf numFmtId="0" fontId="6" fillId="6" borderId="0" xfId="0" applyNumberFormat="1" applyFont="1" applyFill="1" applyBorder="1"/>
    <x:xf numFmtId="20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7" xfId="0" applyNumberFormat="1" applyFont="1" applyFill="1" applyBorder="1"/>
    <x:xf numFmtId="0" fontId="6" fillId="6" borderId="8" xfId="0" applyNumberFormat="1" applyFont="1" applyFill="1" applyBorder="1"/>
    <x:xf numFmtId="20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0"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6" xfId="0" applyNumberFormat="1" applyFont="1" applyFill="1" applyBorder="1" applyAlignment="1">
      <x:alignment horizontal="center"/>
    </x:xf>
    <x:xf numFmtId="0" fontId="6" fillId="6" borderId="7" xfId="0" applyNumberFormat="1" applyFont="1" applyFill="1" applyBorder="1" applyAlignment="1">
      <x:alignment horizontal="center"/>
    </x:xf>
    <x:xf numFmtId="0" fontId="6" fillId="6" borderId="8" xfId="0" applyNumberFormat="1" applyFont="1" applyFill="1" applyBorder="1" applyAlignment="1">
      <x:alignment horizontal="center"/>
    </x:xf>
    <x:xf numFmtId="200" fontId="6" fillId="6" borderId="1" xfId="0" applyNumberFormat="1" applyFont="1" applyFill="1" applyBorder="1" applyAlignment="1">
      <x:alignment horizontal="center" vertical="center"/>
    </x:xf>
    <x:xf numFmtId="0" fontId="6" fillId="6" borderId="2" xfId="0" applyNumberFormat="1" applyFont="1" applyFill="1" applyBorder="1" applyAlignment="1">
      <x:alignment horizontal="center" vertical="center"/>
    </x:xf>
    <x:xf numFmtId="0" fontId="6" fillId="6" borderId="3"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6" fillId="6" borderId="0"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0" fontId="6" fillId="6" borderId="7" xfId="0" applyNumberFormat="1" applyFont="1" applyFill="1" applyBorder="1" applyAlignment="1">
      <x:alignment horizontal="center" vertical="center"/>
    </x:xf>
    <x:xf numFmtId="0" fontId="6" fillId="6" borderId="8" xfId="0" applyNumberFormat="1" applyFont="1" applyFill="1" applyBorder="1" applyAlignment="1">
      <x:alignment horizontal="center" vertical="center"/>
    </x:xf>
    <x:xf numFmtId="201" fontId="0" fillId="6" borderId="0" xfId="0" applyNumberFormat="1" applyFont="1" applyFill="1" applyBorder="1"/>
    <x:xf numFmtId="201" fontId="6" fillId="6" borderId="0" xfId="0" applyNumberFormat="1" applyFont="1" applyFill="1" applyBorder="1"/>
    <x:xf numFmtId="201" fontId="6" fillId="6" borderId="1" xfId="0" applyNumberFormat="1" applyFont="1" applyFill="1" applyBorder="1"/>
    <x:xf numFmtId="201" fontId="6" fillId="6" borderId="1" xfId="0" applyNumberFormat="1" applyFont="1" applyFill="1" applyBorder="1" applyAlignment="1">
      <x:alignment horizontal="center"/>
    </x:xf>
    <x:xf numFmtId="201" fontId="6" fillId="6" borderId="1" xfId="0" applyNumberFormat="1" applyFont="1" applyFill="1" applyBorder="1" applyAlignment="1">
      <x:alignment horizontal="center" vertical="center"/>
    </x:xf>
    <x:xf numFmtId="202" fontId="0" fillId="6" borderId="0" xfId="0" applyNumberFormat="1" applyFont="1" applyFill="1" applyBorder="1"/>
    <x:xf numFmtId="202" fontId="6" fillId="6" borderId="0" xfId="0" applyNumberFormat="1" applyFont="1" applyFill="1" applyBorder="1"/>
    <x:xf numFmtId="202" fontId="6" fillId="6" borderId="1" xfId="0" applyNumberFormat="1" applyFont="1" applyFill="1" applyBorder="1"/>
    <x:xf numFmtId="202" fontId="6" fillId="6" borderId="1" xfId="0" applyNumberFormat="1" applyFont="1" applyFill="1" applyBorder="1" applyAlignment="1">
      <x:alignment horizontal="center"/>
    </x:xf>
    <x:xf numFmtId="202" fontId="6" fillId="6" borderId="1"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9" xfId="0" applyNumberFormat="1" applyFont="1" applyFill="1" applyBorder="1"/>
    <x:xf numFmtId="0" fontId="5" fillId="9" borderId="10" xfId="0" applyNumberFormat="1" applyFont="1" applyFill="1" applyBorder="1"/>
    <x:xf numFmtId="0" fontId="5" fillId="9" borderId="11" xfId="0" applyNumberFormat="1" applyFont="1" applyFill="1" applyBorder="1"/>
    <x:xf numFmtId="0" fontId="5" fillId="9" borderId="12" xfId="0" applyNumberFormat="1" applyFont="1" applyFill="1" applyBorder="1"/>
    <x:xf numFmtId="0" fontId="5" fillId="9" borderId="13" xfId="0" applyNumberFormat="1" applyFont="1" applyFill="1" applyBorder="1"/>
    <x:xf numFmtId="0" fontId="5" fillId="9" borderId="14" xfId="0" applyNumberFormat="1" applyFont="1" applyFill="1" applyBorder="1"/>
    <x:xf numFmtId="0" fontId="5" fillId="9" borderId="15" xfId="0" applyNumberFormat="1" applyFont="1" applyFill="1" applyBorder="1"/>
    <x:xf numFmtId="0" fontId="5" fillId="9" borderId="16" xfId="0" applyNumberFormat="1" applyFont="1" applyFill="1" applyBorder="1"/>
    <x:xf numFmtId="0" fontId="5" fillId="9" borderId="9" xfId="0" applyNumberFormat="1" applyFont="1" applyFill="1" applyBorder="1" applyAlignment="1">
      <x:alignment wrapText="1"/>
    </x:xf>
    <x:xf numFmtId="0" fontId="5" fillId="9" borderId="10" xfId="0" applyNumberFormat="1" applyFont="1" applyFill="1" applyBorder="1" applyAlignment="1">
      <x:alignment wrapText="1"/>
    </x:xf>
    <x:xf numFmtId="0" fontId="5" fillId="9" borderId="11" xfId="0" applyNumberFormat="1" applyFont="1" applyFill="1" applyBorder="1" applyAlignment="1">
      <x:alignment wrapText="1"/>
    </x:xf>
    <x:xf numFmtId="0" fontId="5" fillId="9" borderId="12"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13" xfId="0" applyNumberFormat="1" applyFont="1" applyFill="1" applyBorder="1" applyAlignment="1">
      <x:alignment wrapText="1"/>
    </x:xf>
    <x:xf numFmtId="0" fontId="5" fillId="9" borderId="14" xfId="0" applyNumberFormat="1" applyFont="1" applyFill="1" applyBorder="1" applyAlignment="1">
      <x:alignment wrapText="1"/>
    </x:xf>
    <x:xf numFmtId="0" fontId="5" fillId="9" borderId="15" xfId="0" applyNumberFormat="1" applyFont="1" applyFill="1" applyBorder="1" applyAlignment="1">
      <x:alignment wrapText="1"/>
    </x:xf>
    <x:xf numFmtId="0" fontId="5" fillId="9" borderId="16" xfId="0" applyNumberFormat="1" applyFont="1" applyFill="1" applyBorder="1" applyAlignment="1">
      <x:alignment wrapText="1"/>
    </x:xf>
    <x:xf numFmtId="0" fontId="5" fillId="9" borderId="9" xfId="0" applyNumberFormat="1" applyFont="1" applyFill="1" applyBorder="1" applyAlignment="1">
      <x:alignment vertical="center" wrapText="1"/>
    </x:xf>
    <x:xf numFmtId="0" fontId="5" fillId="9" borderId="10" xfId="0" applyNumberFormat="1" applyFont="1" applyFill="1" applyBorder="1" applyAlignment="1">
      <x:alignment vertical="center" wrapText="1"/>
    </x:xf>
    <x:xf numFmtId="0" fontId="5" fillId="9" borderId="11" xfId="0" applyNumberFormat="1" applyFont="1" applyFill="1" applyBorder="1" applyAlignment="1">
      <x:alignment vertical="center" wrapText="1"/>
    </x:xf>
    <x:xf numFmtId="0" fontId="5" fillId="9" borderId="12"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0" fontId="5" fillId="9" borderId="13" xfId="0" applyNumberFormat="1" applyFont="1" applyFill="1" applyBorder="1" applyAlignment="1">
      <x:alignment vertical="center" wrapText="1"/>
    </x:xf>
    <x:xf numFmtId="0" fontId="5" fillId="9" borderId="14" xfId="0" applyNumberFormat="1" applyFont="1" applyFill="1" applyBorder="1" applyAlignment="1">
      <x:alignment vertical="center" wrapText="1"/>
    </x:xf>
    <x:xf numFmtId="0" fontId="5" fillId="9" borderId="15" xfId="0" applyNumberFormat="1" applyFont="1" applyFill="1" applyBorder="1" applyAlignment="1">
      <x:alignment vertical="center" wrapText="1"/>
    </x:xf>
    <x:xf numFmtId="0" fontId="5" fillId="9" borderId="16"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17" xfId="0" applyNumberFormat="1" applyFont="1" applyFill="1" applyBorder="1"/>
    <x:xf numFmtId="0" fontId="5" fillId="10" borderId="18" xfId="0" applyNumberFormat="1" applyFont="1" applyFill="1" applyBorder="1"/>
    <x:xf numFmtId="0" fontId="5" fillId="10" borderId="19" xfId="0" applyNumberFormat="1" applyFont="1" applyFill="1" applyBorder="1"/>
    <x:xf numFmtId="0" fontId="5" fillId="10" borderId="20" xfId="0" applyNumberFormat="1" applyFont="1" applyFill="1" applyBorder="1"/>
    <x:xf numFmtId="0" fontId="5" fillId="10" borderId="21" xfId="0" applyNumberFormat="1" applyFont="1" applyFill="1" applyBorder="1"/>
    <x:xf numFmtId="0" fontId="5" fillId="10" borderId="22" xfId="0" applyNumberFormat="1" applyFont="1" applyFill="1" applyBorder="1"/>
    <x:xf numFmtId="0" fontId="5" fillId="10" borderId="23" xfId="0" applyNumberFormat="1" applyFont="1" applyFill="1" applyBorder="1"/>
    <x:xf numFmtId="0" fontId="5" fillId="10" borderId="24" xfId="0" applyNumberFormat="1" applyFont="1" applyFill="1" applyBorder="1"/>
    <x:xf numFmtId="0" fontId="5" fillId="10" borderId="17" xfId="0" applyNumberFormat="1" applyFont="1" applyFill="1" applyBorder="1" applyAlignment="1">
      <x:alignment wrapText="1"/>
    </x:xf>
    <x:xf numFmtId="0" fontId="5" fillId="10" borderId="18" xfId="0" applyNumberFormat="1" applyFont="1" applyFill="1" applyBorder="1" applyAlignment="1">
      <x:alignment wrapText="1"/>
    </x:xf>
    <x:xf numFmtId="0" fontId="5" fillId="10" borderId="19" xfId="0" applyNumberFormat="1" applyFont="1" applyFill="1" applyBorder="1" applyAlignment="1">
      <x:alignment wrapText="1"/>
    </x:xf>
    <x:xf numFmtId="0" fontId="5" fillId="10" borderId="20" xfId="0" applyNumberFormat="1" applyFont="1" applyFill="1" applyBorder="1" applyAlignment="1">
      <x:alignment wrapText="1"/>
    </x:xf>
    <x:xf numFmtId="0" fontId="5" fillId="10" borderId="0" xfId="0" applyNumberFormat="1" applyFont="1" applyFill="1" applyBorder="1" applyAlignment="1">
      <x:alignment wrapText="1"/>
    </x:xf>
    <x:xf numFmtId="0" fontId="5" fillId="10" borderId="21" xfId="0" applyNumberFormat="1" applyFont="1" applyFill="1" applyBorder="1" applyAlignment="1">
      <x:alignment wrapText="1"/>
    </x:xf>
    <x:xf numFmtId="0" fontId="5" fillId="10" borderId="22" xfId="0" applyNumberFormat="1" applyFont="1" applyFill="1" applyBorder="1" applyAlignment="1">
      <x:alignment wrapText="1"/>
    </x:xf>
    <x:xf numFmtId="0" fontId="5" fillId="10" borderId="23" xfId="0" applyNumberFormat="1" applyFont="1" applyFill="1" applyBorder="1" applyAlignment="1">
      <x:alignment wrapText="1"/>
    </x:xf>
    <x:xf numFmtId="0" fontId="5" fillId="10" borderId="24" xfId="0" applyNumberFormat="1" applyFont="1" applyFill="1" applyBorder="1" applyAlignment="1">
      <x:alignment wrapText="1"/>
    </x:xf>
    <x:xf numFmtId="0" fontId="5" fillId="10" borderId="17" xfId="0" applyNumberFormat="1" applyFont="1" applyFill="1" applyBorder="1" applyAlignment="1">
      <x:alignment vertical="center" wrapText="1"/>
    </x:xf>
    <x:xf numFmtId="0" fontId="5" fillId="10" borderId="18" xfId="0" applyNumberFormat="1" applyFont="1" applyFill="1" applyBorder="1" applyAlignment="1">
      <x:alignment vertical="center" wrapText="1"/>
    </x:xf>
    <x:xf numFmtId="0" fontId="5" fillId="10" borderId="19" xfId="0" applyNumberFormat="1" applyFont="1" applyFill="1" applyBorder="1" applyAlignment="1">
      <x:alignment vertical="center" wrapText="1"/>
    </x:xf>
    <x:xf numFmtId="0" fontId="5" fillId="10" borderId="20" xfId="0" applyNumberFormat="1" applyFont="1" applyFill="1" applyBorder="1" applyAlignment="1">
      <x:alignment vertical="center" wrapText="1"/>
    </x:xf>
    <x:xf numFmtId="0" fontId="5" fillId="10" borderId="0" xfId="0" applyNumberFormat="1" applyFont="1" applyFill="1" applyBorder="1" applyAlignment="1">
      <x:alignment vertical="center" wrapText="1"/>
    </x:xf>
    <x:xf numFmtId="0" fontId="5" fillId="10" borderId="21" xfId="0" applyNumberFormat="1" applyFont="1" applyFill="1" applyBorder="1" applyAlignment="1">
      <x:alignment vertical="center" wrapText="1"/>
    </x:xf>
    <x:xf numFmtId="0" fontId="5" fillId="10" borderId="22" xfId="0" applyNumberFormat="1" applyFont="1" applyFill="1" applyBorder="1" applyAlignment="1">
      <x:alignment vertical="center" wrapText="1"/>
    </x:xf>
    <x:xf numFmtId="0" fontId="5" fillId="10" borderId="23" xfId="0" applyNumberFormat="1" applyFont="1" applyFill="1" applyBorder="1" applyAlignment="1">
      <x:alignment vertical="center" wrapText="1"/>
    </x:xf>
    <x:xf numFmtId="0" fontId="5" fillId="10" borderId="24"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8" fillId="0" borderId="0" xfId="0" applyNumberFormat="1" applyFont="1" applyFill="1" applyBorder="1"/>
    <x:xf numFmtId="0" fontId="8" fillId="0" borderId="25" xfId="0" applyNumberFormat="1" applyFont="1" applyFill="1" applyBorder="1"/>
    <x:xf numFmtId="0" fontId="8" fillId="0" borderId="26" xfId="0" applyNumberFormat="1" applyFont="1" applyFill="1" applyBorder="1"/>
    <x:xf numFmtId="0" fontId="8" fillId="0" borderId="27" xfId="0" applyNumberFormat="1" applyFont="1" applyFill="1" applyBorder="1"/>
    <x:xf numFmtId="201" fontId="8" fillId="0" borderId="25" xfId="0" applyNumberFormat="1" applyFont="1" applyFill="1" applyBorder="1"/>
    <x:xf numFmtId="201" fontId="8" fillId="0" borderId="26" xfId="0" applyNumberFormat="1" applyFont="1" applyFill="1" applyBorder="1"/>
    <x:xf numFmtId="201" fontId="8" fillId="0" borderId="27" xfId="0" applyNumberFormat="1" applyFont="1" applyFill="1" applyBorder="1"/>
    <x:xf numFmtId="203" fontId="8" fillId="0" borderId="25" xfId="0" applyNumberFormat="1" applyFont="1" applyFill="1" applyBorder="1"/>
    <x:xf numFmtId="203" fontId="8" fillId="0" borderId="26" xfId="0" applyNumberFormat="1" applyFont="1" applyFill="1" applyBorder="1"/>
    <x:xf numFmtId="203" fontId="8" fillId="0" borderId="27" xfId="0" applyNumberFormat="1" applyFont="1" applyFill="1" applyBorder="1"/>
    <x:xf numFmtId="204" fontId="8" fillId="0" borderId="25" xfId="0" applyNumberFormat="1" applyFont="1" applyFill="1" applyBorder="1"/>
    <x:xf numFmtId="204" fontId="8" fillId="0" borderId="26" xfId="0" applyNumberFormat="1" applyFont="1" applyFill="1" applyBorder="1"/>
    <x:xf numFmtId="204" fontId="8" fillId="0" borderId="27" xfId="0" applyNumberFormat="1" applyFont="1" applyFill="1" applyBorder="1"/>
    <x:xf numFmtId="205" fontId="8" fillId="0" borderId="25" xfId="0" applyNumberFormat="1" applyFont="1" applyFill="1" applyBorder="1"/>
    <x:xf numFmtId="205" fontId="8" fillId="0" borderId="26" xfId="0" applyNumberFormat="1" applyFont="1" applyFill="1" applyBorder="1"/>
    <x:xf numFmtId="205" fontId="8" fillId="0" borderId="27" xfId="0" applyNumberFormat="1" applyFont="1" applyFill="1" applyBorder="1"/>
    <x:xf numFmtId="206" fontId="8" fillId="0" borderId="25" xfId="0" applyNumberFormat="1" applyFont="1" applyFill="1" applyBorder="1"/>
    <x:xf numFmtId="206" fontId="8" fillId="0" borderId="26" xfId="0" applyNumberFormat="1" applyFont="1" applyFill="1" applyBorder="1"/>
    <x:xf numFmtId="206" fontId="8" fillId="0" borderId="27" xfId="0" applyNumberFormat="1" applyFont="1" applyFill="1" applyBorder="1"/>
    <x:xf numFmtId="202" fontId="8" fillId="0" borderId="25" xfId="0" applyNumberFormat="1" applyFont="1" applyFill="1" applyBorder="1"/>
    <x:xf numFmtId="202" fontId="8" fillId="0" borderId="26" xfId="0" applyNumberFormat="1" applyFont="1" applyFill="1" applyBorder="1"/>
    <x:xf numFmtId="202" fontId="8" fillId="0" borderId="27"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vertical="center"/>
    </x:xf>
    <x:xf numFmtId="0" fontId="10" fillId="0" borderId="0" xfId="0" applyNumberFormat="1" applyFont="1" applyFill="1" applyBorder="1"/>
    <x:xf numFmtId="0" fontId="11" fillId="4" borderId="0" xfId="0" applyNumberFormat="1" applyFont="1" applyFill="1" applyBorder="1"/>
    <x:xf numFmtId="0" fontId="11" fillId="4" borderId="1" xfId="0" applyNumberFormat="1" applyFont="1" applyFill="1" applyBorder="1"/>
    <x:xf numFmtId="0" fontId="11" fillId="4" borderId="2" xfId="0" applyNumberFormat="1" applyFont="1" applyFill="1" applyBorder="1"/>
    <x:xf numFmtId="0" fontId="11" fillId="4" borderId="3" xfId="0" applyNumberFormat="1" applyFont="1" applyFill="1" applyBorder="1"/>
    <x:xf numFmtId="0" fontId="11" fillId="4" borderId="6" xfId="0" applyNumberFormat="1" applyFont="1" applyFill="1" applyBorder="1"/>
    <x:xf numFmtId="0" fontId="11" fillId="4" borderId="7" xfId="0" applyNumberFormat="1" applyFont="1" applyFill="1" applyBorder="1"/>
    <x:xf numFmtId="0" fontId="11" fillId="4" borderId="8" xfId="0" applyNumberFormat="1" applyFont="1" applyFill="1" applyBorder="1"/>
    <x:xf numFmtId="0" fontId="11" fillId="4" borderId="1" xfId="0" applyNumberFormat="1" applyFont="1" applyFill="1" applyBorder="1" applyAlignment="1">
      <x:alignment horizontal="center"/>
    </x:xf>
    <x:xf numFmtId="0" fontId="11" fillId="4" borderId="2" xfId="0" applyNumberFormat="1" applyFont="1" applyFill="1" applyBorder="1" applyAlignment="1">
      <x:alignment horizontal="center"/>
    </x:xf>
    <x:xf numFmtId="0" fontId="11" fillId="4" borderId="3" xfId="0" applyNumberFormat="1" applyFont="1" applyFill="1" applyBorder="1" applyAlignment="1">
      <x:alignment horizontal="center"/>
    </x:xf>
    <x:xf numFmtId="0" fontId="11" fillId="4" borderId="6" xfId="0" applyNumberFormat="1" applyFont="1" applyFill="1" applyBorder="1" applyAlignment="1">
      <x:alignment horizontal="center"/>
    </x:xf>
    <x:xf numFmtId="0" fontId="11" fillId="4" borderId="7" xfId="0" applyNumberFormat="1" applyFont="1" applyFill="1" applyBorder="1" applyAlignment="1">
      <x:alignment horizontal="center"/>
    </x:xf>
    <x:xf numFmtId="0" fontId="11" fillId="4" borderId="8" xfId="0" applyNumberFormat="1" applyFont="1" applyFill="1" applyBorder="1" applyAlignment="1">
      <x:alignment horizontal="center"/>
    </x:xf>
    <x:xf numFmtId="0" fontId="11" fillId="4" borderId="1" xfId="0" applyNumberFormat="1" applyFont="1" applyFill="1" applyBorder="1" applyAlignment="1">
      <x:alignment horizontal="center" vertical="center"/>
    </x:xf>
    <x:xf numFmtId="0" fontId="11" fillId="4" borderId="2" xfId="0" applyNumberFormat="1" applyFont="1" applyFill="1" applyBorder="1" applyAlignment="1">
      <x:alignment horizontal="center" vertical="center"/>
    </x:xf>
    <x:xf numFmtId="0" fontId="11" fillId="4" borderId="3" xfId="0" applyNumberFormat="1" applyFont="1" applyFill="1" applyBorder="1" applyAlignment="1">
      <x:alignment horizontal="center" vertical="center"/>
    </x:xf>
    <x:xf numFmtId="0" fontId="11" fillId="4" borderId="6" xfId="0" applyNumberFormat="1" applyFont="1" applyFill="1" applyBorder="1" applyAlignment="1">
      <x:alignment horizontal="center" vertical="center"/>
    </x:xf>
    <x:xf numFmtId="0" fontId="11" fillId="4" borderId="7" xfId="0" applyNumberFormat="1" applyFont="1" applyFill="1" applyBorder="1" applyAlignment="1">
      <x:alignment horizontal="center" vertical="center"/>
    </x:xf>
    <x:xf numFmtId="0" fontId="11" fillId="4" borderId="8"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7" fontId="11" fillId="4" borderId="1" xfId="0" applyNumberFormat="1" applyFont="1" applyFill="1" applyBorder="1" applyAlignment="1">
      <x:alignment horizontal="center" vertical="center"/>
    </x:xf>
    <x:xf numFmtId="205" fontId="11" fillId="4" borderId="1" xfId="0" applyNumberFormat="1" applyFont="1" applyFill="1" applyBorder="1" applyAlignment="1">
      <x:alignment horizontal="center" vertical="center"/>
    </x:xf>
    <x:xf numFmtId="0" fontId="12" fillId="5" borderId="0" xfId="0" applyNumberFormat="1" applyFont="1" applyFill="1" applyBorder="1"/>
    <x:xf numFmtId="0" fontId="0" fillId="11" borderId="0" xfId="0" applyNumberFormat="1" applyFont="1" applyFill="1" applyBorder="1"/>
    <x:xf numFmtId="0" fontId="2" fillId="11" borderId="0" xfId="0" applyNumberFormat="1" applyFont="1" applyFill="1" applyBorder="1"/>
    <x:xf numFmtId="205" fontId="0" fillId="0" borderId="0" xfId="0" applyNumberFormat="1" applyFont="1" applyFill="1" applyBorder="1"/>
    <x:xf numFmtId="203" fontId="0" fillId="0" borderId="0" xfId="0" applyNumberFormat="1" applyFont="1" applyFill="1" applyBorder="1"/>
    <x:xf numFmtId="0" fontId="12" fillId="8" borderId="0" xfId="0" applyNumberFormat="1" applyFont="1" applyFill="1" applyBorder="1"/>
    <x:xf numFmtId="0" fontId="13" fillId="10" borderId="0" xfId="0" applyNumberFormat="1" applyFont="1" applyFill="1" applyBorder="1"/>
    <x:xf numFmtId="0" fontId="13" fillId="10" borderId="17" xfId="0" applyNumberFormat="1" applyFont="1" applyFill="1" applyBorder="1"/>
    <x:xf numFmtId="0" fontId="13" fillId="10" borderId="18" xfId="0" applyNumberFormat="1" applyFont="1" applyFill="1" applyBorder="1"/>
    <x:xf numFmtId="0" fontId="13" fillId="10" borderId="19" xfId="0" applyNumberFormat="1" applyFont="1" applyFill="1" applyBorder="1"/>
    <x:xf numFmtId="0" fontId="13" fillId="10" borderId="20" xfId="0" applyNumberFormat="1" applyFont="1" applyFill="1" applyBorder="1"/>
    <x:xf numFmtId="0" fontId="13" fillId="10" borderId="21" xfId="0" applyNumberFormat="1" applyFont="1" applyFill="1" applyBorder="1"/>
    <x:xf numFmtId="0" fontId="13" fillId="10" borderId="22" xfId="0" applyNumberFormat="1" applyFont="1" applyFill="1" applyBorder="1"/>
    <x:xf numFmtId="0" fontId="13" fillId="10" borderId="23" xfId="0" applyNumberFormat="1" applyFont="1" applyFill="1" applyBorder="1"/>
    <x:xf numFmtId="0" fontId="13" fillId="10" borderId="24" xfId="0" applyNumberFormat="1" applyFont="1" applyFill="1" applyBorder="1"/>
    <x:xf numFmtId="0" fontId="13" fillId="10" borderId="17" xfId="0" applyNumberFormat="1" applyFont="1" applyFill="1" applyBorder="1" applyAlignment="1">
      <x:alignment wrapText="1"/>
    </x:xf>
    <x:xf numFmtId="0" fontId="13" fillId="10" borderId="18" xfId="0" applyNumberFormat="1" applyFont="1" applyFill="1" applyBorder="1" applyAlignment="1">
      <x:alignment wrapText="1"/>
    </x:xf>
    <x:xf numFmtId="0" fontId="13" fillId="10" borderId="19" xfId="0" applyNumberFormat="1" applyFont="1" applyFill="1" applyBorder="1" applyAlignment="1">
      <x:alignment wrapText="1"/>
    </x:xf>
    <x:xf numFmtId="0" fontId="13" fillId="10" borderId="20" xfId="0" applyNumberFormat="1" applyFont="1" applyFill="1" applyBorder="1" applyAlignment="1">
      <x:alignment wrapText="1"/>
    </x:xf>
    <x:xf numFmtId="0" fontId="13" fillId="10" borderId="0" xfId="0" applyNumberFormat="1" applyFont="1" applyFill="1" applyBorder="1" applyAlignment="1">
      <x:alignment wrapText="1"/>
    </x:xf>
    <x:xf numFmtId="0" fontId="13" fillId="10" borderId="21" xfId="0" applyNumberFormat="1" applyFont="1" applyFill="1" applyBorder="1" applyAlignment="1">
      <x:alignment wrapText="1"/>
    </x:xf>
    <x:xf numFmtId="0" fontId="13" fillId="10" borderId="22" xfId="0" applyNumberFormat="1" applyFont="1" applyFill="1" applyBorder="1" applyAlignment="1">
      <x:alignment wrapText="1"/>
    </x:xf>
    <x:xf numFmtId="0" fontId="13" fillId="10" borderId="23" xfId="0" applyNumberFormat="1" applyFont="1" applyFill="1" applyBorder="1" applyAlignment="1">
      <x:alignment wrapText="1"/>
    </x:xf>
    <x:xf numFmtId="0" fontId="13" fillId="10" borderId="24" xfId="0" applyNumberFormat="1" applyFont="1" applyFill="1" applyBorder="1" applyAlignment="1">
      <x:alignment wrapText="1"/>
    </x:xf>
    <x:xf numFmtId="0" fontId="13" fillId="10" borderId="17" xfId="0" applyNumberFormat="1" applyFont="1" applyFill="1" applyBorder="1" applyAlignment="1">
      <x:alignment vertical="top" wrapText="1"/>
    </x:xf>
    <x:xf numFmtId="0" fontId="13" fillId="10" borderId="18" xfId="0" applyNumberFormat="1" applyFont="1" applyFill="1" applyBorder="1" applyAlignment="1">
      <x:alignment vertical="top" wrapText="1"/>
    </x:xf>
    <x:xf numFmtId="0" fontId="13" fillId="10" borderId="19" xfId="0" applyNumberFormat="1" applyFont="1" applyFill="1" applyBorder="1" applyAlignment="1">
      <x:alignment vertical="top" wrapText="1"/>
    </x:xf>
    <x:xf numFmtId="0" fontId="13" fillId="10" borderId="20" xfId="0" applyNumberFormat="1" applyFont="1" applyFill="1" applyBorder="1" applyAlignment="1">
      <x:alignment vertical="top" wrapText="1"/>
    </x:xf>
    <x:xf numFmtId="0" fontId="13" fillId="10" borderId="0" xfId="0" applyNumberFormat="1" applyFont="1" applyFill="1" applyBorder="1" applyAlignment="1">
      <x:alignment vertical="top" wrapText="1"/>
    </x:xf>
    <x:xf numFmtId="0" fontId="13" fillId="10" borderId="21" xfId="0" applyNumberFormat="1" applyFont="1" applyFill="1" applyBorder="1" applyAlignment="1">
      <x:alignment vertical="top" wrapText="1"/>
    </x:xf>
    <x:xf numFmtId="0" fontId="13" fillId="10" borderId="22" xfId="0" applyNumberFormat="1" applyFont="1" applyFill="1" applyBorder="1" applyAlignment="1">
      <x:alignment vertical="top" wrapText="1"/>
    </x:xf>
    <x:xf numFmtId="0" fontId="13" fillId="10" borderId="23" xfId="0" applyNumberFormat="1" applyFont="1" applyFill="1" applyBorder="1" applyAlignment="1">
      <x:alignment vertical="top" wrapText="1"/>
    </x:xf>
    <x:xf numFmtId="0" fontId="13" fillId="10" borderId="24" xfId="0" applyNumberFormat="1" applyFont="1" applyFill="1" applyBorder="1" applyAlignment="1">
      <x:alignment vertical="top" wrapText="1"/>
    </x:xf>
    <x:xf numFmtId="0" fontId="14" fillId="4" borderId="0" xfId="0" applyNumberFormat="1" applyFont="1" applyFill="1" applyBorder="1"/>
    <x:xf numFmtId="0" fontId="14" fillId="4" borderId="0" xfId="0" applyNumberFormat="1" applyFont="1" applyFill="1" applyBorder="1" applyAlignment="1">
      <x:alignment wrapText="1"/>
    </x:xf>
    <x:xf numFmtId="0" fontId="14" fillId="4" borderId="0" xfId="0" applyNumberFormat="1" applyFont="1" applyFill="1" applyBorder="1" applyAlignment="1">
      <x:alignment vertical="center"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10" fillId="4" borderId="0" xfId="0" applyNumberFormat="1" applyFont="1" applyFill="1" applyBorder="1"/>
    <x:xf numFmtId="0" fontId="10" fillId="4" borderId="0" xfId="0" applyNumberFormat="1" applyFont="1" applyFill="1" applyBorder="1" applyAlignment="1">
      <x:alignment wrapText="1"/>
    </x:xf>
    <x:xf numFmtId="0" fontId="4" fillId="7" borderId="0" xfId="0" applyNumberFormat="1" applyFont="1" applyFill="1" applyBorder="1" applyAlignment="1">
      <x:alignment wrapText="1"/>
    </x:xf>
    <x:xf numFmtId="208" fontId="0" fillId="0" borderId="0" xfId="0" applyNumberFormat="1" applyFont="1" applyFill="1" applyBorder="1"/>
    <x:xf numFmtId="209"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16" fillId="10" borderId="0" xfId="0" applyNumberFormat="1" applyFont="1" applyFill="1" applyBorder="1"/>
    <x:xf numFmtId="0" fontId="16" fillId="10" borderId="17" xfId="0" applyNumberFormat="1" applyFont="1" applyFill="1" applyBorder="1"/>
    <x:xf numFmtId="0" fontId="16" fillId="10" borderId="18" xfId="0" applyNumberFormat="1" applyFont="1" applyFill="1" applyBorder="1"/>
    <x:xf numFmtId="0" fontId="16" fillId="10" borderId="19" xfId="0" applyNumberFormat="1" applyFont="1" applyFill="1" applyBorder="1"/>
    <x:xf numFmtId="0" fontId="16" fillId="10" borderId="20" xfId="0" applyNumberFormat="1" applyFont="1" applyFill="1" applyBorder="1"/>
    <x:xf numFmtId="0" fontId="16" fillId="10" borderId="21" xfId="0" applyNumberFormat="1" applyFont="1" applyFill="1" applyBorder="1"/>
    <x:xf numFmtId="0" fontId="16" fillId="10" borderId="22" xfId="0" applyNumberFormat="1" applyFont="1" applyFill="1" applyBorder="1"/>
    <x:xf numFmtId="0" fontId="16" fillId="10" borderId="23" xfId="0" applyNumberFormat="1" applyFont="1" applyFill="1" applyBorder="1"/>
    <x:xf numFmtId="0" fontId="16" fillId="10" borderId="24" xfId="0" applyNumberFormat="1" applyFont="1" applyFill="1" applyBorder="1"/>
    <x:xf numFmtId="0" fontId="16" fillId="10" borderId="17" xfId="0" applyNumberFormat="1" applyFont="1" applyFill="1" applyBorder="1" applyAlignment="1">
      <x:alignment wrapText="1"/>
    </x:xf>
    <x:xf numFmtId="0" fontId="16" fillId="10" borderId="18" xfId="0" applyNumberFormat="1" applyFont="1" applyFill="1" applyBorder="1" applyAlignment="1">
      <x:alignment wrapText="1"/>
    </x:xf>
    <x:xf numFmtId="0" fontId="16" fillId="10" borderId="19" xfId="0" applyNumberFormat="1" applyFont="1" applyFill="1" applyBorder="1" applyAlignment="1">
      <x:alignment wrapText="1"/>
    </x:xf>
    <x:xf numFmtId="0" fontId="16" fillId="10" borderId="20" xfId="0" applyNumberFormat="1" applyFont="1" applyFill="1" applyBorder="1" applyAlignment="1">
      <x:alignment wrapText="1"/>
    </x:xf>
    <x:xf numFmtId="0" fontId="16" fillId="10" borderId="0" xfId="0" applyNumberFormat="1" applyFont="1" applyFill="1" applyBorder="1" applyAlignment="1">
      <x:alignment wrapText="1"/>
    </x:xf>
    <x:xf numFmtId="0" fontId="16" fillId="10" borderId="21" xfId="0" applyNumberFormat="1" applyFont="1" applyFill="1" applyBorder="1" applyAlignment="1">
      <x:alignment wrapText="1"/>
    </x:xf>
    <x:xf numFmtId="0" fontId="16" fillId="10" borderId="22" xfId="0" applyNumberFormat="1" applyFont="1" applyFill="1" applyBorder="1" applyAlignment="1">
      <x:alignment wrapText="1"/>
    </x:xf>
    <x:xf numFmtId="0" fontId="16" fillId="10" borderId="23" xfId="0" applyNumberFormat="1" applyFont="1" applyFill="1" applyBorder="1" applyAlignment="1">
      <x:alignment wrapText="1"/>
    </x:xf>
    <x:xf numFmtId="0" fontId="16" fillId="10" borderId="24" xfId="0" applyNumberFormat="1" applyFont="1" applyFill="1" applyBorder="1" applyAlignment="1">
      <x:alignment wrapText="1"/>
    </x:xf>
    <x:xf numFmtId="0" fontId="16" fillId="10" borderId="17" xfId="0" applyNumberFormat="1" applyFont="1" applyFill="1" applyBorder="1" applyAlignment="1">
      <x:alignment vertical="top" wrapText="1"/>
    </x:xf>
    <x:xf numFmtId="0" fontId="16" fillId="10" borderId="18" xfId="0" applyNumberFormat="1" applyFont="1" applyFill="1" applyBorder="1" applyAlignment="1">
      <x:alignment vertical="top" wrapText="1"/>
    </x:xf>
    <x:xf numFmtId="0" fontId="16" fillId="10" borderId="19" xfId="0" applyNumberFormat="1" applyFont="1" applyFill="1" applyBorder="1" applyAlignment="1">
      <x:alignment vertical="top" wrapText="1"/>
    </x:xf>
    <x:xf numFmtId="0" fontId="16" fillId="10" borderId="20" xfId="0" applyNumberFormat="1" applyFont="1" applyFill="1" applyBorder="1" applyAlignment="1">
      <x:alignment vertical="top" wrapText="1"/>
    </x:xf>
    <x:xf numFmtId="0" fontId="16" fillId="10" borderId="0" xfId="0" applyNumberFormat="1" applyFont="1" applyFill="1" applyBorder="1" applyAlignment="1">
      <x:alignment vertical="top" wrapText="1"/>
    </x:xf>
    <x:xf numFmtId="0" fontId="16" fillId="10" borderId="21" xfId="0" applyNumberFormat="1" applyFont="1" applyFill="1" applyBorder="1" applyAlignment="1">
      <x:alignment vertical="top" wrapText="1"/>
    </x:xf>
    <x:xf numFmtId="0" fontId="16" fillId="10" borderId="22" xfId="0" applyNumberFormat="1" applyFont="1" applyFill="1" applyBorder="1" applyAlignment="1">
      <x:alignment vertical="top" wrapText="1"/>
    </x:xf>
    <x:xf numFmtId="0" fontId="16" fillId="10" borderId="23" xfId="0" applyNumberFormat="1" applyFont="1" applyFill="1" applyBorder="1" applyAlignment="1">
      <x:alignment vertical="top" wrapText="1"/>
    </x:xf>
    <x:xf numFmtId="0" fontId="16" fillId="10" borderId="24" xfId="0" applyNumberFormat="1" applyFont="1" applyFill="1" applyBorder="1" applyAlignment="1">
      <x:alignment vertical="top" wrapText="1"/>
    </x:xf>
    <x:xf numFmtId="0" fontId="17" fillId="0" borderId="0" xfId="0" applyNumberFormat="1" applyFont="1" applyFill="1" applyBorder="1"/>
    <x:xf numFmtId="0" fontId="17" fillId="0" borderId="25" xfId="0" applyNumberFormat="1" applyFont="1" applyFill="1" applyBorder="1"/>
    <x:xf numFmtId="0" fontId="17" fillId="0" borderId="26" xfId="0" applyNumberFormat="1" applyFont="1" applyFill="1" applyBorder="1"/>
    <x:xf numFmtId="0" fontId="17" fillId="0" borderId="27" xfId="0" applyNumberFormat="1" applyFont="1" applyFill="1" applyBorder="1"/>
    <x:xf numFmtId="201" fontId="17" fillId="0" borderId="25" xfId="0" applyNumberFormat="1" applyFont="1" applyFill="1" applyBorder="1"/>
    <x:xf numFmtId="201" fontId="17" fillId="0" borderId="26" xfId="0" applyNumberFormat="1" applyFont="1" applyFill="1" applyBorder="1"/>
    <x:xf numFmtId="201" fontId="17" fillId="0" borderId="27" xfId="0" applyNumberFormat="1" applyFont="1" applyFill="1" applyBorder="1"/>
    <x:xf numFmtId="203" fontId="17" fillId="0" borderId="25" xfId="0" applyNumberFormat="1" applyFont="1" applyFill="1" applyBorder="1"/>
    <x:xf numFmtId="203" fontId="17" fillId="0" borderId="26" xfId="0" applyNumberFormat="1" applyFont="1" applyFill="1" applyBorder="1"/>
    <x:xf numFmtId="203" fontId="17" fillId="0" borderId="27" xfId="0" applyNumberFormat="1" applyFont="1" applyFill="1" applyBorder="1"/>
    <x:xf numFmtId="206" fontId="17" fillId="0" borderId="25" xfId="0" applyNumberFormat="1" applyFont="1" applyFill="1" applyBorder="1"/>
    <x:xf numFmtId="206" fontId="17" fillId="0" borderId="26" xfId="0" applyNumberFormat="1" applyFont="1" applyFill="1" applyBorder="1"/>
    <x:xf numFmtId="206" fontId="17" fillId="0" borderId="27" xfId="0" applyNumberFormat="1" applyFont="1" applyFill="1" applyBorder="1"/>
    <x:xf numFmtId="204" fontId="17" fillId="0" borderId="25" xfId="0" applyNumberFormat="1" applyFont="1" applyFill="1" applyBorder="1"/>
    <x:xf numFmtId="204" fontId="17" fillId="0" borderId="26" xfId="0" applyNumberFormat="1" applyFont="1" applyFill="1" applyBorder="1"/>
    <x:xf numFmtId="204" fontId="17" fillId="0" borderId="27" xfId="0" applyNumberFormat="1" applyFont="1" applyFill="1" applyBorder="1"/>
    <x:xf numFmtId="205" fontId="17" fillId="0" borderId="25" xfId="0" applyNumberFormat="1" applyFont="1" applyFill="1" applyBorder="1"/>
    <x:xf numFmtId="205" fontId="17" fillId="0" borderId="26" xfId="0" applyNumberFormat="1" applyFont="1" applyFill="1" applyBorder="1"/>
    <x:xf numFmtId="205" fontId="17" fillId="0" borderId="27" xfId="0" applyNumberFormat="1" applyFont="1" applyFill="1" applyBorder="1"/>
    <x:xf numFmtId="0" fontId="2" fillId="11" borderId="0" xfId="0" applyNumberFormat="1" applyFont="1" applyFill="1" applyBorder="1" applyAlignment="1">
      <x:alignment wrapText="1"/>
    </x:xf>
    <x:xf numFmtId="207" fontId="0" fillId="0" borderId="0" xfId="0" applyNumberFormat="1" applyFont="1" applyFill="1" applyBorder="1"/>
    <x:xf numFmtId="204" fontId="0" fillId="0" borderId="0" xfId="0" applyNumberFormat="1" applyFont="1" applyFill="1" applyBorder="1"/>
    <x:xf numFmtId="205" fontId="0" fillId="4" borderId="0" xfId="0" applyNumberFormat="1" applyFont="1" applyFill="1" applyBorder="1"/>
    <x:xf numFmtId="205" fontId="14" fillId="4" borderId="0" xfId="0" applyNumberFormat="1" applyFont="1" applyFill="1" applyBorder="1"/>
    <x:xf numFmtId="205" fontId="14" fillId="4" borderId="0" xfId="0" applyNumberFormat="1" applyFont="1" applyFill="1" applyBorder="1" applyAlignment="1">
      <x:alignment wrapText="1"/>
    </x:xf>
    <x:xf numFmtId="205" fontId="14" fillId="4"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center"/>
    </x:xf>
    <x:xf numFmtId="0" fontId="0" fillId="12" borderId="0" xfId="0" applyNumberFormat="1" applyFont="1" applyFill="1" applyBorder="1"/>
    <x:xf numFmtId="0" fontId="19" fillId="12" borderId="0" xfId="0" applyNumberFormat="1" applyFont="1" applyFill="1" applyBorder="1"/>
    <x:xf numFmtId="0" fontId="19" fillId="12" borderId="28" xfId="0" applyNumberFormat="1" applyFont="1" applyFill="1" applyBorder="1"/>
    <x:xf numFmtId="0" fontId="19" fillId="12" borderId="29" xfId="0" applyNumberFormat="1" applyFont="1" applyFill="1" applyBorder="1"/>
    <x:xf numFmtId="0" fontId="19" fillId="12" borderId="30" xfId="0" applyNumberFormat="1" applyFont="1" applyFill="1" applyBorder="1"/>
    <x:xf numFmtId="0" fontId="19" fillId="12" borderId="31" xfId="0" applyNumberFormat="1" applyFont="1" applyFill="1" applyBorder="1"/>
    <x:xf numFmtId="0" fontId="19" fillId="12" borderId="32" xfId="0" applyNumberFormat="1" applyFont="1" applyFill="1" applyBorder="1"/>
    <x:xf numFmtId="0" fontId="19" fillId="12" borderId="33" xfId="0" applyNumberFormat="1" applyFont="1" applyFill="1" applyBorder="1"/>
    <x:xf numFmtId="0" fontId="19" fillId="12" borderId="28" xfId="0" applyNumberFormat="1" applyFont="1" applyFill="1" applyBorder="1" applyAlignment="1">
      <x:alignment horizontal="center"/>
    </x:xf>
    <x:xf numFmtId="0" fontId="19" fillId="12" borderId="29" xfId="0" applyNumberFormat="1" applyFont="1" applyFill="1" applyBorder="1" applyAlignment="1">
      <x:alignment horizontal="center"/>
    </x:xf>
    <x:xf numFmtId="0" fontId="19" fillId="12" borderId="30" xfId="0" applyNumberFormat="1" applyFont="1" applyFill="1" applyBorder="1" applyAlignment="1">
      <x:alignment horizontal="center"/>
    </x:xf>
    <x:xf numFmtId="0" fontId="19" fillId="12" borderId="31" xfId="0" applyNumberFormat="1" applyFont="1" applyFill="1" applyBorder="1" applyAlignment="1">
      <x:alignment horizontal="center"/>
    </x:xf>
    <x:xf numFmtId="0" fontId="19" fillId="12" borderId="32" xfId="0" applyNumberFormat="1" applyFont="1" applyFill="1" applyBorder="1" applyAlignment="1">
      <x:alignment horizontal="center"/>
    </x:xf>
    <x:xf numFmtId="0" fontId="19" fillId="12" borderId="33" xfId="0" applyNumberFormat="1" applyFont="1" applyFill="1" applyBorder="1" applyAlignment="1">
      <x:alignment horizontal="center"/>
    </x:xf>
    <x:xf numFmtId="0" fontId="19" fillId="12" borderId="28" xfId="0" applyNumberFormat="1" applyFont="1" applyFill="1" applyBorder="1" applyAlignment="1">
      <x:alignment horizontal="center" vertical="center"/>
    </x:xf>
    <x:xf numFmtId="0" fontId="19" fillId="12" borderId="29" xfId="0" applyNumberFormat="1" applyFont="1" applyFill="1" applyBorder="1" applyAlignment="1">
      <x:alignment horizontal="center" vertical="center"/>
    </x:xf>
    <x:xf numFmtId="0" fontId="19" fillId="12" borderId="30" xfId="0" applyNumberFormat="1" applyFont="1" applyFill="1" applyBorder="1" applyAlignment="1">
      <x:alignment horizontal="center" vertical="center"/>
    </x:xf>
    <x:xf numFmtId="0" fontId="19" fillId="12" borderId="31" xfId="0" applyNumberFormat="1" applyFont="1" applyFill="1" applyBorder="1" applyAlignment="1">
      <x:alignment horizontal="center" vertical="center"/>
    </x:xf>
    <x:xf numFmtId="0" fontId="19" fillId="12" borderId="32" xfId="0" applyNumberFormat="1" applyFont="1" applyFill="1" applyBorder="1" applyAlignment="1">
      <x:alignment horizontal="center" vertical="center"/>
    </x:xf>
    <x:xf numFmtId="0" fontId="19" fillId="12" borderId="33" xfId="0" applyNumberFormat="1" applyFont="1" applyFill="1" applyBorder="1" applyAlignment="1">
      <x:alignment horizontal="center" vertical="center"/>
    </x:xf>
    <x:xf numFmtId="210" fontId="0" fillId="0" borderId="0" xfId="0" applyNumberFormat="1" applyFont="1" applyFill="1" applyBorder="1"/>
    <x:xf numFmtId="211" fontId="0" fillId="0" borderId="0" xfId="0" applyNumberFormat="1" applyFont="1" applyFill="1" applyBorder="1"/>
    <x:xf numFmtId="0" fontId="12" fillId="2" borderId="0" xfId="0" applyNumberFormat="1" applyFont="1" applyFill="1" applyBorder="1"/>
    <x:xf numFmtId="0" fontId="12" fillId="2" borderId="0" xfId="0" applyNumberFormat="1" applyFont="1" applyFill="1" applyBorder="1" applyAlignment="1">
      <x:alignment wrapText="1"/>
    </x:xf>
    <x:xf numFmtId="0" fontId="12" fillId="2" borderId="0" xfId="0" applyNumberFormat="1" applyFont="1" applyFill="1" applyBorder="1" applyAlignment="1">
      <x:alignment vertical="center" wrapText="1"/>
    </x:xf>
    <x:xf numFmtId="0" fontId="13" fillId="3" borderId="0" xfId="0" applyNumberFormat="1" applyFont="1" applyFill="1" applyBorder="1"/>
    <x:xf numFmtId="0" fontId="13" fillId="3" borderId="0" xfId="0" applyNumberFormat="1" applyFont="1" applyFill="1" applyBorder="1" applyAlignment="1">
      <x:alignment wrapText="1"/>
    </x:xf>
    <x:xf numFmtId="0" fontId="13" fillId="3"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11" fontId="19" fillId="12" borderId="28" xfId="0" applyNumberFormat="1" applyFont="1" applyFill="1" applyBorder="1" applyAlignment="1">
      <x:alignment horizontal="center" vertical="center"/>
    </x:xf>
    <x:xf numFmtId="203" fontId="0" fillId="6" borderId="0" xfId="0" applyNumberFormat="1" applyFont="1" applyFill="1" applyBorder="1"/>
    <x:xf numFmtId="205" fontId="0" fillId="6" borderId="0" xfId="0" applyNumberFormat="1" applyFont="1" applyFill="1" applyBorder="1"/>
    <x:xf numFmtId="203" fontId="20" fillId="6" borderId="0" xfId="0" applyNumberFormat="1" applyFont="1" applyFill="1" applyBorder="1"/>
    <x:xf numFmtId="205" fontId="20" fillId="6" borderId="0" xfId="0" applyNumberFormat="1" applyFont="1" applyFill="1" applyBorder="1"/>
    <x:xf numFmtId="203" fontId="20" fillId="6" borderId="34" xfId="0" applyNumberFormat="1" applyFont="1" applyFill="1" applyBorder="1"/>
    <x:xf numFmtId="205" fontId="20" fillId="6" borderId="35" xfId="0" applyNumberFormat="1" applyFont="1" applyFill="1" applyBorder="1"/>
    <x:xf numFmtId="203" fontId="20" fillId="6" borderId="34" xfId="0" applyNumberFormat="1" applyFont="1" applyFill="1" applyBorder="1" applyAlignment="1">
      <x:alignment horizontal="center"/>
    </x:xf>
    <x:xf numFmtId="205" fontId="20" fillId="6" borderId="35" xfId="0" applyNumberFormat="1" applyFont="1" applyFill="1" applyBorder="1" applyAlignment="1">
      <x:alignment horizontal="center"/>
    </x:xf>
    <x:xf numFmtId="212" fontId="0" fillId="0" borderId="0" xfId="0" applyNumberFormat="1" applyFont="1" applyFill="1" applyBorder="1"/>
  </x:cellXfs>
  <x:cellStyles count="1">
    <x:cellStyle name="Normal" xfId="0"/>
  </x:cellStyles>
  <x:dxfs count="2">
    <x:dxf>
      <x:font>
        <x:b/>
        <x:color rgb="FF19603A"/>
      </x:font>
      <x:fill>
        <x:patternFill patternType="solid">
          <x:bgColor rgb="FFDFF2E8"/>
        </x:patternFill>
      </x:fill>
    </x:dxf>
    <x:dxf>
      <x:font>
        <x:b/>
        <x:color rgb="FF19603A"/>
      </x:font>
      <x:fill>
        <x:patternFill patternType="solid">
          <x:bgColor rgb="FFDFF2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8329992abf4aff" /><Relationship Type="http://schemas.openxmlformats.org/officeDocument/2006/relationships/theme" Target="/xl/theme/theme1.xml" Id="Rd1b7183d3b564bf5" /><Relationship Type="http://schemas.openxmlformats.org/officeDocument/2006/relationships/sharedStrings" Target="/xl/sharedStrings.xml" Id="R29f268d12b504547" /><Relationship Type="http://schemas.openxmlformats.org/officeDocument/2006/relationships/worksheet" Target="/xl/worksheets/sheet1.xml" Id="R7b3bcbd1117e4243" /><Relationship Type="http://schemas.openxmlformats.org/officeDocument/2006/relationships/worksheet" Target="/xl/worksheets/sheet2.xml" Id="Rcbe497e5469e47d4" /><Relationship Type="http://schemas.openxmlformats.org/officeDocument/2006/relationships/worksheet" Target="/xl/worksheets/sheet3.xml" Id="R2ea294a6ed274f6d" /><Relationship Type="http://schemas.openxmlformats.org/officeDocument/2006/relationships/worksheet" Target="/xl/worksheets/sheet4.xml" Id="Rd0996dc604a1444a" /><Relationship Type="http://schemas.openxmlformats.org/officeDocument/2006/relationships/worksheet" Target="/xl/worksheets/sheet5.xml" Id="R47a48af8072a4974" /><Relationship Type="http://schemas.openxmlformats.org/officeDocument/2006/relationships/worksheet" Target="/xl/worksheets/sheet6.xml" Id="R1123ad6d48844da4" /><Relationship Type="http://schemas.openxmlformats.org/officeDocument/2006/relationships/worksheet" Target="/xl/worksheets/sheet7.xml" Id="Re9a6b261708b4dfd" /><Relationship Type="http://schemas.openxmlformats.org/officeDocument/2006/relationships/worksheet" Target="/xl/worksheets/sheet8.xml" Id="R84bd9eaaf3344eb6" /><Relationship Type="http://schemas.openxmlformats.org/officeDocument/2006/relationships/worksheet" Target="/xl/worksheets/sheet9.xml" Id="R3201faeecf114164" /><Relationship Type="http://schemas.openxmlformats.org/officeDocument/2006/relationships/worksheet" Target="/xl/worksheets/sheet10.xml" Id="Rd59d8974eca346bf" /><Relationship Type="http://schemas.openxmlformats.org/officeDocument/2006/relationships/worksheet" Target="/xl/worksheets/sheet11.xml" Id="R7d4d4114a8224a4d" /></Relationships>
</file>

<file path=xl/drawings/_rels/drawing1.xml.rels>&#65279;<?xml version="1.0" encoding="utf-8"?><Relationships xmlns="http://schemas.openxmlformats.org/package/2006/relationships"><Relationship Type="http://schemas.openxmlformats.org/officeDocument/2006/relationships/chart" Target="/xl/drawings/charts/chart1.xml" Id="R3b04e7e3992449ce" /><Relationship Type="http://schemas.openxmlformats.org/officeDocument/2006/relationships/chart" Target="/xl/drawings/charts/chart2.xml" Id="R4f97da1c400a4646" /></Relationships>
</file>

<file path=xl/drawings/_rels/drawing2.xml.rels>&#65279;<?xml version="1.0" encoding="utf-8"?><Relationships xmlns="http://schemas.openxmlformats.org/package/2006/relationships"><Relationship Type="http://schemas.openxmlformats.org/officeDocument/2006/relationships/chart" Target="/xl/drawings/charts/chart3.xml" Id="R6062a277b44c445f" /></Relationships>
</file>

<file path=xl/drawings/_rels/drawing3.xml.rels>&#65279;<?xml version="1.0" encoding="utf-8"?><Relationships xmlns="http://schemas.openxmlformats.org/package/2006/relationships"><Relationship Type="http://schemas.openxmlformats.org/officeDocument/2006/relationships/chart" Target="/xl/drawings/charts/chart4.xml" Id="Re34d5bea8cef4c8a" /></Relationships>
</file>

<file path=xl/drawings/_rels/drawing4.xml.rels>&#65279;<?xml version="1.0" encoding="utf-8"?><Relationships xmlns="http://schemas.openxmlformats.org/package/2006/relationships"><Relationship Type="http://schemas.openxmlformats.org/officeDocument/2006/relationships/chart" Target="/xl/drawings/charts/chart5.xml" Id="R31146cf556f54f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Highest reported loss per capita (2025)</a:t>
            </a:r>
          </a:p>
        </c:rich>
      </c:tx>
      <c:overlay val="0"/>
    </c:title>
    <c:plotArea>
      <c:barChart>
        <c:barDir val="col"/>
        <c:varyColors val="0"/>
        <c:ser>
          <c:idx val="0"/>
          <c:order val="0"/>
          <c:tx>
            <c:v>Loss per capita</c:v>
          </c:tx>
          <c:cat>
            <c:strRef>
              <c:f>'Dashboard'!$A$11:$A$20</c:f>
              <c:strCache>
                <c:ptCount val="0"/>
              </c:strCache>
            </c:strRef>
          </c:cat>
          <c:val>
            <c:numRef>
              <c:f>'Dashboard'!$B$11:$B$20</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Higher-income states tend to report larger losses per resident</a:t>
            </a:r>
          </a:p>
        </c:rich>
      </c:tx>
      <c:overlay val="0"/>
    </c:title>
    <c:plotArea>
      <c:scatterChart>
        <c:scatterStyle val="marker"/>
        <c:ser>
          <c:idx val="0"/>
          <c:order val="0"/>
          <c:tx>
            <c:v>States</c:v>
          </c:tx>
          <c:xVal>
            <c:numLit>
              <c:formatCode>General</c:formatCode>
              <c:ptCount val="0"/>
            </c:numLit>
          </c:xVal>
          <c:yVal>
            <c:numRef>
              <c:f>'Chart Data'!$C$2:$C$52</c:f>
              <c:numCache>
                <c:formatCode>$0</c:formatCode>
                <c:ptCount val="0"/>
              </c:numCache>
            </c:numRef>
          </c:yVal>
        </c:ser>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quot;k&quot;"/>
        <c:majorTickMark val="none"/>
        <c:minorTickMark val="none"/>
        <c:tickLblPos val="nextTo"/>
        <c:crossAx val="48672768"/>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Reported loss per resident nearly doubled, 2022–2025</a:t>
            </a:r>
          </a:p>
        </c:rich>
      </c:tx>
      <c:overlay val="0"/>
    </c:title>
    <c:plotArea>
      <c:lineChart>
        <c:grouping val="standard"/>
        <c:varyColors val="0"/>
        <c:ser>
          <c:idx val="0"/>
          <c:order val="0"/>
          <c:tx>
            <c:v>Loss per capita</c:v>
          </c:tx>
          <c:marker>
            <c:symbol val="none"/>
          </c:marker>
          <c:cat>
            <c:strRef>
              <c:f>'Panel Dashboard'!$A$7:$A$10</c:f>
              <c:strCache>
                <c:ptCount val="0"/>
              </c:strCache>
            </c:strRef>
          </c:cat>
          <c:val>
            <c:numRef>
              <c:f>'Panel Dashboard'!$D$7:$D$10</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Selected outcome across time</a:t>
            </a:r>
          </a:p>
        </c:rich>
      </c:tx>
      <c:overlay val="0"/>
    </c:title>
    <c:plotArea>
      <c:lineChart>
        <c:grouping val="standard"/>
        <c:varyColors val="0"/>
        <c:ser>
          <c:idx val="0"/>
          <c:order val="0"/>
          <c:tx>
            <c:v>North Carolina</c:v>
          </c:tx>
          <c:marker>
            <c:symbol val="none"/>
          </c:marker>
          <c:cat>
            <c:strRef>
              <c:f>'Interactive Econ Lab'!$A$19:$A$22</c:f>
              <c:strCache>
                <c:ptCount val="0"/>
              </c:strCache>
            </c:strRef>
          </c:cat>
          <c:val>
            <c:numRef>
              <c:f>'Interactive Econ Lab'!$B$19:$B$22</c:f>
              <c:numCache>
                <c:formatCode>#,##0.00</c:formatCode>
                <c:ptCount val="0"/>
              </c:numCache>
            </c:numRef>
          </c:val>
          <c:smooth val="0"/>
        </c:ser>
        <c:ser>
          <c:idx val="1"/>
          <c:order val="1"/>
          <c:tx>
            <c:v>California</c:v>
          </c:tx>
          <c:marker>
            <c:symbol val="none"/>
          </c:marker>
          <c:cat>
            <c:strRef>
              <c:f>'Interactive Econ Lab'!$A$19:$A$22</c:f>
              <c:strCache>
                <c:ptCount val="0"/>
              </c:strCache>
            </c:strRef>
          </c:cat>
          <c:val>
            <c:numRef>
              <c:f>'Interactive Econ Lab'!$C$19:$C$22</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How model choice changes the scenario</a:t>
            </a:r>
          </a:p>
        </c:rich>
      </c:tx>
      <c:overlay val="0"/>
    </c:title>
    <c:plotArea>
      <c:barChart>
        <c:barDir val="col"/>
        <c:varyColors val="0"/>
        <c:ser>
          <c:idx val="0"/>
          <c:order val="0"/>
          <c:tx>
            <c:v>Baseline</c:v>
          </c:tx>
          <c:cat>
            <c:strRef>
              <c:f>'Scenario Lab'!$A$12:$A$14</c:f>
              <c:strCache>
                <c:ptCount val="0"/>
              </c:strCache>
            </c:strRef>
          </c:cat>
          <c:val>
            <c:numRef>
              <c:f>'Scenario Lab'!$C$12:$C$14</c:f>
              <c:numCache>
                <c:formatCode>$0</c:formatCode>
                <c:ptCount val="0"/>
              </c:numCache>
            </c:numRef>
          </c:val>
        </c:ser>
        <c:ser>
          <c:idx val="1"/>
          <c:order val="1"/>
          <c:tx>
            <c:v>Scenario</c:v>
          </c:tx>
          <c:cat>
            <c:strRef>
              <c:f>'Scenario Lab'!$A$12:$A$14</c:f>
              <c:strCache>
                <c:ptCount val="0"/>
              </c:strCache>
            </c:strRef>
          </c:cat>
          <c:val>
            <c:numRef>
              <c:f>'Scenario Lab'!$D$12:$D$14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7</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04e7e3992449ce"/>
        </a:graphicData>
      </a:graphic>
    </xdr:graphicFrame>
    <xdr:clientData/>
  </xdr:twoCellAnchor>
  <xdr:twoCellAnchor>
    <xdr:from>
      <xdr:col>7</xdr:col>
      <xdr:colOff>0</xdr:colOff>
      <xdr:row>21</xdr:row>
      <xdr:rowOff>0</xdr:rowOff>
    </xdr:from>
    <xdr:to>
      <xdr:col>14</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97da1c400a4646"/>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7</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62a277b44c445f"/>
        </a:graphicData>
      </a:graphic>
    </xdr:graphicFrame>
    <xdr:clientData/>
  </xdr:twoCellAnchor>
</xdr:wsDr>
</file>

<file path=xl/drawings/drawing3.xml><?xml version="1.0" encoding="utf-8"?>
<xdr:wsDr xmlns:xdr="http://schemas.openxmlformats.org/drawingml/2006/spreadsheetDrawing">
  <xdr:twoCellAnchor>
    <xdr:from>
      <xdr:col>4</xdr:col>
      <xdr:colOff>0</xdr:colOff>
      <xdr:row>16</xdr:row>
      <xdr:rowOff>0</xdr:rowOff>
    </xdr:from>
    <xdr:to>
      <xdr:col>13</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4d5bea8cef4c8a"/>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9</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146cf556f54f5e"/>
        </a:graphicData>
      </a:graphic>
    </xdr:graphicFrame>
    <xdr:clientData/>
  </xdr:twoCellAnchor>
</xdr:wsDr>
</file>

<file path=xl/tables/table1.xml><?xml version="1.0" encoding="utf-8"?>
<x:table xmlns:x="http://schemas.openxmlformats.org/spreadsheetml/2006/main" id="1" name="StateFraudData" displayName="StateFraudData" ref="A1:Q52" headerRowCount="1" totalsRowCount="0" totalsRowShown="0">
  <x:tableColumns count="17">
    <x:tableColumn id="1" name="State"/>
    <x:tableColumn id="2" name="FIPS"/>
    <x:tableColumn id="3" name="Population (2024)"/>
    <x:tableColumn id="4" name="Median household income"/>
    <x:tableColumn id="5" name="Age 65+ count"/>
    <x:tableColumn id="6" name="Households"/>
    <x:tableColumn id="7" name="Internet households"/>
    <x:tableColumn id="8" name="IC3 complaints (2025)"/>
    <x:tableColumn id="9" name="IC3 reported loss (2025)"/>
    <x:tableColumn id="10" name="Complaints per 100k"/>
    <x:tableColumn id="11" name="Loss per capita"/>
    <x:tableColumn id="12" name="Loss per complaint"/>
    <x:tableColumn id="13" name="Age 65+ share"/>
    <x:tableColumn id="14" name="Internet household share"/>
    <x:tableColumn id="15" name="Loss/capita rank"/>
    <x:tableColumn id="16" name="IC3 source"/>
    <x:tableColumn id="17" name="Census source"/>
  </x:tableColumns>
  <x:tableStyleInfo name="TableStyleMedium2" showFirstColumn="0" showLastColumn="0" showRowStripes="1" showColumnStripes="0"/>
</x:table>
</file>

<file path=xl/tables/table2.xml><?xml version="1.0" encoding="utf-8"?>
<x:table xmlns:x="http://schemas.openxmlformats.org/spreadsheetml/2006/main" id="2" name="RegressionResults" displayName="RegressionResults" ref="A6:G18" headerRowCount="1" totalsRowCount="0" totalsRowShown="0">
  <x:tableColumns count="7">
    <x:tableColumn id="1" name="Model"/>
    <x:tableColumn id="2" name="Dependent variable"/>
    <x:tableColumn id="3" name="Regressor"/>
    <x:tableColumn id="4" name="Coefficient"/>
    <x:tableColumn id="5" name="Std. error"/>
    <x:tableColumn id="6" name="t statistic"/>
    <x:tableColumn id="7" name="Approx. p-value"/>
  </x:tableColumns>
  <x:tableStyleInfo name="TableStyleMedium2" showFirstColumn="0" showLastColumn="0" showRowStripes="1" showColumnStripes="0"/>
</x:table>
</file>

<file path=xl/tables/table3.xml><?xml version="1.0" encoding="utf-8"?>
<x:table xmlns:x="http://schemas.openxmlformats.org/spreadsheetml/2006/main" id="3" name="FraudPanelData" displayName="FraudPanelData" ref="A1:O205" headerRowCount="1" totalsRowCount="0" totalsRowShown="0">
  <x:tableColumns count="15">
    <x:tableColumn id="1" name="Year"/>
    <x:tableColumn id="2" name="State"/>
    <x:tableColumn id="3" name="Region"/>
    <x:tableColumn id="4" name="ACS year"/>
    <x:tableColumn id="5" name="Population"/>
    <x:tableColumn id="6" name="Median income"/>
    <x:tableColumn id="7" name="Age 65+ share"/>
    <x:tableColumn id="8" name="Internet household share"/>
    <x:tableColumn id="9" name="Complaints"/>
    <x:tableColumn id="10" name="Reported loss"/>
    <x:tableColumn id="11" name="Complaints per 100k"/>
    <x:tableColumn id="12" name="Loss per capita"/>
    <x:tableColumn id="13" name="Loss per complaint"/>
    <x:tableColumn id="14" name="IC3 report"/>
    <x:tableColumn id="15" name="ACS source"/>
  </x:tableColumns>
  <x:tableStyleInfo name="TableStyleMedium2" showFirstColumn="0" showLastColumn="0" showRowStripes="1" showColumnStripes="0"/>
</x:table>
</file>

<file path=xl/tables/table4.xml><?xml version="1.0" encoding="utf-8"?>
<x:table xmlns:x="http://schemas.openxmlformats.org/spreadsheetml/2006/main" id="4" name="PanelRegressionResults" displayName="PanelRegressionResults" ref="A6:F30" headerRowCount="1" totalsRowCount="0" totalsRowShown="0">
  <x:tableColumns count="6">
    <x:tableColumn id="1" name="Model"/>
    <x:tableColumn id="2" name="Regressor"/>
    <x:tableColumn id="3" name="Coefficient"/>
    <x:tableColumn id="4" name="Robust SE"/>
    <x:tableColumn id="5" name="t statistic"/>
    <x:tableColumn id="6" name="Approx. p-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07663cb080845fa" /></Relationships>
</file>

<file path=xl/worksheets/_rels/sheet3.xml.rels>&#65279;<?xml version="1.0" encoding="utf-8"?><Relationships xmlns="http://schemas.openxmlformats.org/package/2006/relationships"><Relationship Type="http://schemas.openxmlformats.org/officeDocument/2006/relationships/table" Target="/xl/tables/table1.xml" Id="Rba01d9a565d24c64" /></Relationships>
</file>

<file path=xl/worksheets/_rels/sheet4.xml.rels>&#65279;<?xml version="1.0" encoding="utf-8"?><Relationships xmlns="http://schemas.openxmlformats.org/package/2006/relationships"><Relationship Type="http://schemas.openxmlformats.org/officeDocument/2006/relationships/table" Target="/xl/tables/table2.xml" Id="R7baa045060714aa2" /></Relationships>
</file>

<file path=xl/worksheets/_rels/sheet7.xml.rels>&#65279;<?xml version="1.0" encoding="utf-8"?><Relationships xmlns="http://schemas.openxmlformats.org/package/2006/relationships"><Relationship Type="http://schemas.openxmlformats.org/officeDocument/2006/relationships/drawing" Target="/xl/drawings/drawing2.xml" Id="Ra29926aca0334437" /></Relationships>
</file>

<file path=xl/worksheets/_rels/sheet8.xml.rels>&#65279;<?xml version="1.0" encoding="utf-8"?><Relationships xmlns="http://schemas.openxmlformats.org/package/2006/relationships"><Relationship Type="http://schemas.openxmlformats.org/officeDocument/2006/relationships/table" Target="/xl/tables/table3.xml" Id="R4d9aa9fb2b4a4a1e" /></Relationships>
</file>

<file path=xl/worksheets/_rels/sheet9.xml.rels>&#65279;<?xml version="1.0" encoding="utf-8"?><Relationships xmlns="http://schemas.openxmlformats.org/package/2006/relationships"><Relationship Type="http://schemas.openxmlformats.org/officeDocument/2006/relationships/table" Target="/xl/tables/table4.xml" Id="R68efd47c9c144a3b" /></Relationships>
</file>

<file path=xl/worksheets/_rels/sheet10.xml.rels>&#65279;<?xml version="1.0" encoding="utf-8"?><Relationships xmlns="http://schemas.openxmlformats.org/package/2006/relationships"><Relationship Type="http://schemas.openxmlformats.org/officeDocument/2006/relationships/drawing" Target="/xl/drawings/drawing3.xml" Id="Raf59289ecaef47d3" /></Relationships>
</file>

<file path=xl/worksheets/_rels/sheet11.xml.rels>&#65279;<?xml version="1.0" encoding="utf-8"?><Relationships xmlns="http://schemas.openxmlformats.org/package/2006/relationships"><Relationship Type="http://schemas.openxmlformats.org/officeDocument/2006/relationships/drawing" Target="/xl/drawings/drawing4.xml" Id="Rf55c8bf5eebd468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3" t="str">
        <x:v>SCAM GEOGRAPHY</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3"/>
      <x:c r="B3" s="3"/>
      <x:c r="C3" s="3"/>
      <x:c r="D3" s="3"/>
      <x:c r="E3" s="3"/>
      <x:c r="F3" s="3"/>
      <x:c r="G3" s="3"/>
      <x:c r="H3" s="3"/>
      <x:c r="I3" s="3"/>
      <x:c r="J3" s="3"/>
      <x:c r="K3" s="3"/>
      <x:c r="L3" s="3"/>
      <x:c r="M3" s="3"/>
      <x:c r="N3" s="3"/>
    </x:row>
    <x:row r="4">
      <x:c r="A4" s="6" t="str">
        <x:v>An interactive economics project by Om | FBI IC3 + Census ACS | 2022–2025</x:v>
      </x:c>
      <x:c r="B4" s="6"/>
      <x:c r="C4" s="6"/>
      <x:c r="D4" s="6"/>
      <x:c r="E4" s="6"/>
      <x:c r="F4" s="6"/>
      <x:c r="G4" s="6"/>
      <x:c r="H4" s="6"/>
      <x:c r="I4" s="6"/>
      <x:c r="J4" s="6"/>
      <x:c r="K4" s="6"/>
      <x:c r="L4" s="6"/>
      <x:c r="M4" s="6"/>
      <x:c r="N4" s="6"/>
    </x:row>
    <x:row r="6">
      <x:c r="A6" s="26" t="str">
        <x:v>RESEARCH QUESTION
Where does reported online fraud impose the greatest economic harm—and do income, internet access, and demographic differences help explain the geography?</x:v>
      </x:c>
      <x:c r="B6" s="27"/>
      <x:c r="C6" s="27"/>
      <x:c r="D6" s="27"/>
      <x:c r="E6" s="27"/>
      <x:c r="F6" s="27"/>
      <x:c r="G6" s="27"/>
      <x:c r="H6" s="27"/>
      <x:c r="I6" s="28"/>
      <x:c r="K6" s="37" t="str">
        <x:v>QUICK START</x:v>
      </x:c>
      <x:c r="L6" s="37"/>
      <x:c r="M6" s="37"/>
      <x:c r="N6" s="37"/>
    </x:row>
    <x:row r="7">
      <x:c r="A7" s="29"/>
      <x:c r="B7" s="30"/>
      <x:c r="C7" s="30"/>
      <x:c r="D7" s="30"/>
      <x:c r="E7" s="30"/>
      <x:c r="F7" s="30"/>
      <x:c r="G7" s="30"/>
      <x:c r="H7" s="30"/>
      <x:c r="I7" s="31"/>
      <x:c r="K7" s="57" t="str">
        <x:v>1. Open Interactive Econ Lab
2. Compare states and outcomes
3. Open Scenario Lab
4. Test an income-change scenario
5. Check Sources &amp; Notes</x:v>
      </x:c>
      <x:c r="L7" s="58"/>
      <x:c r="M7" s="58"/>
      <x:c r="N7" s="59"/>
    </x:row>
    <x:row r="8">
      <x:c r="A8" s="29"/>
      <x:c r="B8" s="30"/>
      <x:c r="C8" s="30"/>
      <x:c r="D8" s="30"/>
      <x:c r="E8" s="30"/>
      <x:c r="F8" s="30"/>
      <x:c r="G8" s="30"/>
      <x:c r="H8" s="30"/>
      <x:c r="I8" s="31"/>
      <x:c r="K8" s="60"/>
      <x:c r="L8" s="61"/>
      <x:c r="M8" s="61"/>
      <x:c r="N8" s="62"/>
    </x:row>
    <x:row r="9">
      <x:c r="A9" s="29"/>
      <x:c r="B9" s="30"/>
      <x:c r="C9" s="30"/>
      <x:c r="D9" s="30"/>
      <x:c r="E9" s="30"/>
      <x:c r="F9" s="30"/>
      <x:c r="G9" s="30"/>
      <x:c r="H9" s="30"/>
      <x:c r="I9" s="31"/>
      <x:c r="K9" s="60"/>
      <x:c r="L9" s="61"/>
      <x:c r="M9" s="61"/>
      <x:c r="N9" s="62"/>
    </x:row>
    <x:row r="10">
      <x:c r="A10" s="32"/>
      <x:c r="B10" s="33"/>
      <x:c r="C10" s="33"/>
      <x:c r="D10" s="33"/>
      <x:c r="E10" s="33"/>
      <x:c r="F10" s="33"/>
      <x:c r="G10" s="33"/>
      <x:c r="H10" s="33"/>
      <x:c r="I10" s="34"/>
      <x:c r="K10" s="63"/>
      <x:c r="L10" s="64"/>
      <x:c r="M10" s="64"/>
      <x:c r="N10" s="65"/>
    </x:row>
    <x:row r="12">
      <x:c r="A12" s="68" t="str">
        <x:v>LOSS / PERSON GROWTH</x:v>
      </x:c>
      <x:c r="B12" s="68"/>
      <x:c r="C12" s="68"/>
      <x:c r="D12" s="68"/>
      <x:c r="F12" s="68" t="str">
        <x:v>STATE-YEAR OBSERVATIONS</x:v>
      </x:c>
      <x:c r="G12" s="68"/>
      <x:c r="H12" s="68"/>
      <x:c r="I12" s="68"/>
      <x:c r="K12" s="68" t="str">
        <x:v>JURISDICTIONS</x:v>
      </x:c>
      <x:c r="L12" s="68"/>
      <x:c r="M12" s="68"/>
      <x:c r="N12" s="68"/>
    </x:row>
    <x:row r="13">
      <x:c r="A13" s="92" t="n">
        <x:f>'Panel Dashboard'!D10/'Panel Dashboard'!D7-1</x:f>
        <x:v>0.9465535536134018</x:v>
      </x:c>
      <x:c r="B13" s="93"/>
      <x:c r="C13" s="93"/>
      <x:c r="D13" s="94"/>
      <x:c r="F13" s="105" t="n">
        <x:f>COUNTA('Panel Data'!A2:A205)</x:f>
        <x:v>204</x:v>
      </x:c>
      <x:c r="G13" s="93"/>
      <x:c r="H13" s="93"/>
      <x:c r="I13" s="94"/>
      <x:c r="K13" s="110" t="n">
        <x:v>51</x:v>
      </x:c>
      <x:c r="L13" s="93"/>
      <x:c r="M13" s="93"/>
      <x:c r="N13" s="94"/>
    </x:row>
    <x:row r="14">
      <x:c r="A14" s="95"/>
      <x:c r="B14" s="96"/>
      <x:c r="C14" s="96"/>
      <x:c r="D14" s="97"/>
      <x:c r="F14" s="95"/>
      <x:c r="G14" s="96"/>
      <x:c r="H14" s="96"/>
      <x:c r="I14" s="97"/>
      <x:c r="K14" s="95"/>
      <x:c r="L14" s="96"/>
      <x:c r="M14" s="96"/>
      <x:c r="N14" s="97"/>
    </x:row>
    <x:row r="15">
      <x:c r="A15" s="98"/>
      <x:c r="B15" s="99"/>
      <x:c r="C15" s="99"/>
      <x:c r="D15" s="100"/>
      <x:c r="F15" s="98"/>
      <x:c r="G15" s="99"/>
      <x:c r="H15" s="99"/>
      <x:c r="I15" s="100"/>
      <x:c r="K15" s="98"/>
      <x:c r="L15" s="99"/>
      <x:c r="M15" s="99"/>
      <x:c r="N15" s="100"/>
    </x:row>
    <x:row r="17">
      <x:c r="A17" s="36" t="str">
        <x:v>THE ECONOMIC IDEA</x:v>
      </x:c>
      <x:c r="B17" s="36"/>
      <x:c r="C17" s="36"/>
      <x:c r="D17" s="36"/>
      <x:c r="E17" s="36"/>
      <x:c r="F17" s="36"/>
      <x:c r="H17" s="112" t="str">
        <x:v>EVIDENCE LADDER</x:v>
      </x:c>
      <x:c r="I17" s="112"/>
      <x:c r="J17" s="112"/>
      <x:c r="K17" s="112"/>
      <x:c r="L17" s="112"/>
      <x:c r="M17" s="112"/>
      <x:c r="N17" s="112"/>
    </x:row>
    <x:row r="18">
      <x:c r="A18" s="132" t="str">
        <x:v>LOSS PER PERSON = COMPLAINTS PER PERSON × LOSS PER COMPLAINT
This decomposition separates reported exposure from loss severity. A state can rank highly because more residents report fraud, because each complaint is costlier, or both.</x:v>
      </x:c>
      <x:c r="B18" s="133"/>
      <x:c r="C18" s="133"/>
      <x:c r="D18" s="133"/>
      <x:c r="E18" s="133"/>
      <x:c r="F18" s="134"/>
      <x:c r="H18" s="160" t="str">
        <x:v>1. Descriptive rankings show where losses concentrate.
2. Pooled models test between-state associations.
3. State + year fixed effects test within-state change.
4. D.C. exclusion and winsorization test outlier sensitivity.</x:v>
      </x:c>
      <x:c r="I18" s="161"/>
      <x:c r="J18" s="161"/>
      <x:c r="K18" s="161"/>
      <x:c r="L18" s="161"/>
      <x:c r="M18" s="161"/>
      <x:c r="N18" s="162"/>
    </x:row>
    <x:row r="19">
      <x:c r="A19" s="135"/>
      <x:c r="B19" s="136"/>
      <x:c r="C19" s="136"/>
      <x:c r="D19" s="136"/>
      <x:c r="E19" s="136"/>
      <x:c r="F19" s="137"/>
      <x:c r="H19" s="163"/>
      <x:c r="I19" s="164"/>
      <x:c r="J19" s="164"/>
      <x:c r="K19" s="164"/>
      <x:c r="L19" s="164"/>
      <x:c r="M19" s="164"/>
      <x:c r="N19" s="165"/>
    </x:row>
    <x:row r="20">
      <x:c r="A20" s="135"/>
      <x:c r="B20" s="136"/>
      <x:c r="C20" s="136"/>
      <x:c r="D20" s="136"/>
      <x:c r="E20" s="136"/>
      <x:c r="F20" s="137"/>
      <x:c r="H20" s="163"/>
      <x:c r="I20" s="164"/>
      <x:c r="J20" s="164"/>
      <x:c r="K20" s="164"/>
      <x:c r="L20" s="164"/>
      <x:c r="M20" s="164"/>
      <x:c r="N20" s="165"/>
    </x:row>
    <x:row r="21">
      <x:c r="A21" s="135"/>
      <x:c r="B21" s="136"/>
      <x:c r="C21" s="136"/>
      <x:c r="D21" s="136"/>
      <x:c r="E21" s="136"/>
      <x:c r="F21" s="137"/>
      <x:c r="H21" s="163"/>
      <x:c r="I21" s="164"/>
      <x:c r="J21" s="164"/>
      <x:c r="K21" s="164"/>
      <x:c r="L21" s="164"/>
      <x:c r="M21" s="164"/>
      <x:c r="N21" s="165"/>
    </x:row>
    <x:row r="22">
      <x:c r="A22" s="135"/>
      <x:c r="B22" s="136"/>
      <x:c r="C22" s="136"/>
      <x:c r="D22" s="136"/>
      <x:c r="E22" s="136"/>
      <x:c r="F22" s="137"/>
      <x:c r="H22" s="163"/>
      <x:c r="I22" s="164"/>
      <x:c r="J22" s="164"/>
      <x:c r="K22" s="164"/>
      <x:c r="L22" s="164"/>
      <x:c r="M22" s="164"/>
      <x:c r="N22" s="165"/>
    </x:row>
    <x:row r="23">
      <x:c r="A23" s="138"/>
      <x:c r="B23" s="139"/>
      <x:c r="C23" s="139"/>
      <x:c r="D23" s="139"/>
      <x:c r="E23" s="139"/>
      <x:c r="F23" s="140"/>
      <x:c r="H23" s="166"/>
      <x:c r="I23" s="167"/>
      <x:c r="J23" s="167"/>
      <x:c r="K23" s="167"/>
      <x:c r="L23" s="167"/>
      <x:c r="M23" s="167"/>
      <x:c r="N23" s="168"/>
    </x:row>
    <x:row r="25">
      <x:c r="A25" s="171" t="str">
        <x:v>BOTTOM LINE
Reported loss per person nearly doubled from 2022 to 2025. Higher-income states consistently report greater losses, but the within-state estimate is imprecise. The project therefore documents a robust geographic association—not a causal effect of income growth on fraud.</x:v>
      </x:c>
      <x:c r="B25" s="171"/>
      <x:c r="C25" s="171"/>
      <x:c r="D25" s="171"/>
      <x:c r="E25" s="171"/>
      <x:c r="F25" s="171"/>
      <x:c r="G25" s="171"/>
      <x:c r="H25" s="171"/>
      <x:c r="I25" s="171"/>
      <x:c r="J25" s="171"/>
      <x:c r="K25" s="171"/>
      <x:c r="L25" s="171"/>
      <x:c r="M25" s="171"/>
      <x:c r="N25" s="171"/>
    </x:row>
    <x:row r="26">
      <x:c r="A26" s="171"/>
      <x:c r="B26" s="171"/>
      <x:c r="C26" s="171"/>
      <x:c r="D26" s="171"/>
      <x:c r="E26" s="171"/>
      <x:c r="F26" s="171"/>
      <x:c r="G26" s="171"/>
      <x:c r="H26" s="171"/>
      <x:c r="I26" s="171"/>
      <x:c r="J26" s="171"/>
      <x:c r="K26" s="171"/>
      <x:c r="L26" s="171"/>
      <x:c r="M26" s="171"/>
      <x:c r="N26" s="171"/>
    </x:row>
    <x:row r="27">
      <x:c r="A27" s="171"/>
      <x:c r="B27" s="171"/>
      <x:c r="C27" s="171"/>
      <x:c r="D27" s="171"/>
      <x:c r="E27" s="171"/>
      <x:c r="F27" s="171"/>
      <x:c r="G27" s="171"/>
      <x:c r="H27" s="171"/>
      <x:c r="I27" s="171"/>
      <x:c r="J27" s="171"/>
      <x:c r="K27" s="171"/>
      <x:c r="L27" s="171"/>
      <x:c r="M27" s="171"/>
      <x:c r="N27" s="171"/>
    </x:row>
    <x:row r="28">
      <x:c r="A28" s="171"/>
      <x:c r="B28" s="171"/>
      <x:c r="C28" s="171"/>
      <x:c r="D28" s="171"/>
      <x:c r="E28" s="171"/>
      <x:c r="F28" s="171"/>
      <x:c r="G28" s="171"/>
      <x:c r="H28" s="171"/>
      <x:c r="I28" s="171"/>
      <x:c r="J28" s="171"/>
      <x:c r="K28" s="171"/>
      <x:c r="L28" s="171"/>
      <x:c r="M28" s="171"/>
      <x:c r="N28" s="171"/>
    </x:row>
    <x:row r="29">
      <x:c r="A29" s="171"/>
      <x:c r="B29" s="171"/>
      <x:c r="C29" s="171"/>
      <x:c r="D29" s="171"/>
      <x:c r="E29" s="171"/>
      <x:c r="F29" s="171"/>
      <x:c r="G29" s="171"/>
      <x:c r="H29" s="171"/>
      <x:c r="I29" s="171"/>
      <x:c r="J29" s="171"/>
      <x:c r="K29" s="171"/>
      <x:c r="L29" s="171"/>
      <x:c r="M29" s="171"/>
      <x:c r="N29" s="171"/>
    </x:row>
  </x:sheetData>
  <x:mergeCells>
    <x:mergeCell ref="A1:N3"/>
    <x:mergeCell ref="A4:N4"/>
    <x:mergeCell ref="A6:I10"/>
    <x:mergeCell ref="K6:N6"/>
    <x:mergeCell ref="K7:N10"/>
    <x:mergeCell ref="A12:D12"/>
    <x:mergeCell ref="F12:I12"/>
    <x:mergeCell ref="K12:N12"/>
    <x:mergeCell ref="A13:D15"/>
    <x:mergeCell ref="F13:I15"/>
    <x:mergeCell ref="K13:N15"/>
    <x:mergeCell ref="A17:F17"/>
    <x:mergeCell ref="H17:N17"/>
    <x:mergeCell ref="A18:F23"/>
    <x:mergeCell ref="H18:N23"/>
    <x:mergeCell ref="A25: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198" t="str">
        <x:v>The Geography of Online Fraud in the United States</x:v>
      </x:c>
      <x:c r="B1" s="198"/>
      <x:c r="C1" s="198"/>
      <x:c r="D1" s="198"/>
      <x:c r="E1" s="198"/>
      <x:c r="F1" s="198"/>
      <x:c r="G1" s="198"/>
      <x:c r="H1" s="198"/>
      <x:c r="I1" s="198"/>
      <x:c r="J1" s="198"/>
      <x:c r="K1" s="198"/>
      <x:c r="L1" s="198"/>
      <x:c r="M1" s="198"/>
      <x:c r="N1" s="198"/>
    </x:row>
    <x:row r="2">
      <x:c r="A2" s="198"/>
      <x:c r="B2" s="198"/>
      <x:c r="C2" s="198"/>
      <x:c r="D2" s="198"/>
      <x:c r="E2" s="198"/>
      <x:c r="F2" s="198"/>
      <x:c r="G2" s="198"/>
      <x:c r="H2" s="198"/>
      <x:c r="I2" s="198"/>
      <x:c r="J2" s="198"/>
      <x:c r="K2" s="198"/>
      <x:c r="L2" s="198"/>
      <x:c r="M2" s="198"/>
      <x:c r="N2" s="198"/>
    </x:row>
    <x:row r="3">
      <x:c r="A3" s="199" t="str">
        <x:v>State-level FBI IC3 outcomes (2025) merged with Census ACS characteristics (2024)</x:v>
      </x:c>
      <x:c r="B3" s="199"/>
      <x:c r="C3" s="199"/>
      <x:c r="D3" s="199"/>
      <x:c r="E3" s="199"/>
      <x:c r="F3" s="199"/>
      <x:c r="G3" s="199"/>
      <x:c r="H3" s="199"/>
      <x:c r="I3" s="199"/>
      <x:c r="J3" s="199"/>
      <x:c r="K3" s="199"/>
      <x:c r="L3" s="199"/>
      <x:c r="M3" s="199"/>
      <x:c r="N3" s="199"/>
    </x:row>
    <x:row r="5">
      <x:c r="A5" s="68" t="str">
        <x:v>States + DC</x:v>
      </x:c>
      <x:c r="B5" s="68"/>
      <x:c r="C5" s="68"/>
      <x:c r="D5" s="68" t="str">
        <x:v>Total complaints</x:v>
      </x:c>
      <x:c r="E5" s="68"/>
      <x:c r="F5" s="68"/>
      <x:c r="G5" s="68" t="str">
        <x:v>Reported losses</x:v>
      </x:c>
      <x:c r="H5" s="68"/>
      <x:c r="I5" s="68"/>
      <x:c r="J5" s="68"/>
      <x:c r="K5" s="68" t="str">
        <x:v>Median loss per capita</x:v>
      </x:c>
      <x:c r="L5" s="68"/>
      <x:c r="M5" s="68"/>
      <x:c r="N5" s="68"/>
    </x:row>
    <x:row r="6">
      <x:c r="A6" s="213" t="n">
        <x:v>51</x:v>
      </x:c>
      <x:c r="B6" s="214"/>
      <x:c r="C6" s="215"/>
      <x:c r="D6" s="219" t="n">
        <x:f>SUM('State Data'!H2:H52)</x:f>
        <x:v>915490</x:v>
      </x:c>
      <x:c r="E6" s="214"/>
      <x:c r="F6" s="215"/>
      <x:c r="G6" s="220" t="n">
        <x:f>SUM('State Data'!I2:I52)</x:f>
        <x:v>18873969353</x:v>
      </x:c>
      <x:c r="H6" s="214"/>
      <x:c r="I6" s="214"/>
      <x:c r="J6" s="215"/>
      <x:c r="K6" s="221" t="n">
        <x:f>MEDIAN('State Data'!K2:K52)</x:f>
        <x:v>46.77393199106955</x:v>
      </x:c>
      <x:c r="L6" s="214"/>
      <x:c r="M6" s="214"/>
      <x:c r="N6" s="215"/>
    </x:row>
    <x:row r="7">
      <x:c r="A7" s="216"/>
      <x:c r="B7" s="217"/>
      <x:c r="C7" s="218"/>
      <x:c r="D7" s="216"/>
      <x:c r="E7" s="217"/>
      <x:c r="F7" s="218"/>
      <x:c r="G7" s="216"/>
      <x:c r="H7" s="217"/>
      <x:c r="I7" s="217"/>
      <x:c r="J7" s="218"/>
      <x:c r="K7" s="216"/>
      <x:c r="L7" s="217"/>
      <x:c r="M7" s="217"/>
      <x:c r="N7" s="218"/>
    </x:row>
    <x:row r="9">
      <x:c r="A9" s="222" t="str">
        <x:v>Highest reported loss per resident</x:v>
      </x:c>
      <x:c r="B9" s="222"/>
      <x:c r="C9" s="222"/>
      <x:c r="D9" s="222"/>
      <x:c r="E9" s="222"/>
      <x:c r="F9" s="222"/>
      <x:c r="H9" s="227" t="str">
        <x:v>Main empirical findings</x:v>
      </x:c>
      <x:c r="I9" s="227"/>
      <x:c r="J9" s="227"/>
      <x:c r="K9" s="227"/>
      <x:c r="L9" s="227"/>
      <x:c r="M9" s="227"/>
      <x:c r="N9" s="227"/>
    </x:row>
    <x:row r="10">
      <x:c r="A10" s="224" t="str">
        <x:v>State</x:v>
      </x:c>
      <x:c r="B10" s="224" t="str">
        <x:v>Loss per capita</x:v>
      </x:c>
      <x:c r="C10" s="224" t="str">
        <x:v>Loss per complaint</x:v>
      </x:c>
      <x:c r="H10" s="246" t="str">
        <x:v>1. Income is the clearest predictor of loss severity: a 1% higher median income is associated with about 1.14% higher loss per complaint, holding age and internet access constant.
2. Internet access is associated with exposure: a one-percentage-point increase in household internet subscription predicts roughly 6% higher complaints per 100,000 in the log-linear model.
3. Age 65+ share is not statistically distinguishable from zero in these state-level models. That does not contradict individual-level elder vulnerability; aggregation and reporting can mask it.
4. The models are descriptive cross-sections, not causal estimates. IC3 data reflect reported complaints and losses.</x:v>
      </x:c>
      <x:c r="I10" s="247"/>
      <x:c r="J10" s="247"/>
      <x:c r="K10" s="247"/>
      <x:c r="L10" s="247"/>
      <x:c r="M10" s="247"/>
      <x:c r="N10" s="248"/>
    </x:row>
    <x:row r="11">
      <x:c r="A11" t="str">
        <x:v>District of Columbia</x:v>
      </x:c>
      <x:c r="B11" s="225" t="n">
        <x:v>138.6516155215379</x:v>
      </x:c>
      <x:c r="C11" s="226" t="n">
        <x:v>31277.89816896884</x:v>
      </x:c>
      <x:c r="H11" s="249"/>
      <x:c r="I11" s="250"/>
      <x:c r="J11" s="250"/>
      <x:c r="K11" s="250"/>
      <x:c r="L11" s="250"/>
      <x:c r="M11" s="250"/>
      <x:c r="N11" s="251"/>
    </x:row>
    <x:row r="12">
      <x:c r="A12" t="str">
        <x:v>California</x:v>
      </x:c>
      <x:c r="B12" s="225" t="n">
        <x:v>93.1929648056163</x:v>
      </x:c>
      <x:c r="C12" s="226" t="n">
        <x:v>31565.931116532374</x:v>
      </x:c>
      <x:c r="H12" s="249"/>
      <x:c r="I12" s="250"/>
      <x:c r="J12" s="250"/>
      <x:c r="K12" s="250"/>
      <x:c r="L12" s="250"/>
      <x:c r="M12" s="250"/>
      <x:c r="N12" s="251"/>
    </x:row>
    <x:row r="13">
      <x:c r="A13" t="str">
        <x:v>Nevada</x:v>
      </x:c>
      <x:c r="B13" s="225" t="n">
        <x:v>92.49833188827921</x:v>
      </x:c>
      <x:c r="C13" s="226" t="n">
        <x:v>22612.243528355528</x:v>
      </x:c>
      <x:c r="H13" s="249"/>
      <x:c r="I13" s="250"/>
      <x:c r="J13" s="250"/>
      <x:c r="K13" s="250"/>
      <x:c r="L13" s="250"/>
      <x:c r="M13" s="250"/>
      <x:c r="N13" s="251"/>
    </x:row>
    <x:row r="14">
      <x:c r="A14" t="str">
        <x:v>Arizona</x:v>
      </x:c>
      <x:c r="B14" s="225" t="n">
        <x:v>83.1797240815026</x:v>
      </x:c>
      <x:c r="C14" s="226" t="n">
        <x:v>21847.74175557711</x:v>
      </x:c>
      <x:c r="H14" s="249"/>
      <x:c r="I14" s="250"/>
      <x:c r="J14" s="250"/>
      <x:c r="K14" s="250"/>
      <x:c r="L14" s="250"/>
      <x:c r="M14" s="250"/>
      <x:c r="N14" s="251"/>
    </x:row>
    <x:row r="15">
      <x:c r="A15" t="str">
        <x:v>Hawaii</x:v>
      </x:c>
      <x:c r="B15" s="225" t="n">
        <x:v>73.60762675414516</x:v>
      </x:c>
      <x:c r="C15" s="226" t="n">
        <x:v>31985.389122596152</x:v>
      </x:c>
      <x:c r="H15" s="249"/>
      <x:c r="I15" s="250"/>
      <x:c r="J15" s="250"/>
      <x:c r="K15" s="250"/>
      <x:c r="L15" s="250"/>
      <x:c r="M15" s="250"/>
      <x:c r="N15" s="251"/>
    </x:row>
    <x:row r="16">
      <x:c r="A16" t="str">
        <x:v>New Jersey</x:v>
      </x:c>
      <x:c r="B16" s="225" t="n">
        <x:v>69.51081550484267</x:v>
      </x:c>
      <x:c r="C16" s="226" t="n">
        <x:v>31984.30361294072</x:v>
      </x:c>
      <x:c r="H16" s="249"/>
      <x:c r="I16" s="250"/>
      <x:c r="J16" s="250"/>
      <x:c r="K16" s="250"/>
      <x:c r="L16" s="250"/>
      <x:c r="M16" s="250"/>
      <x:c r="N16" s="251"/>
    </x:row>
    <x:row r="17">
      <x:c r="A17" t="str">
        <x:v>Florida</x:v>
      </x:c>
      <x:c r="B17" s="225" t="n">
        <x:v>68.29214068927571</x:v>
      </x:c>
      <x:c r="C17" s="226" t="n">
        <x:v>22217.03708085687</x:v>
      </x:c>
      <x:c r="H17" s="252"/>
      <x:c r="I17" s="253"/>
      <x:c r="J17" s="253"/>
      <x:c r="K17" s="253"/>
      <x:c r="L17" s="253"/>
      <x:c r="M17" s="253"/>
      <x:c r="N17" s="254"/>
    </x:row>
    <x:row r="18">
      <x:c r="A18" t="str">
        <x:v>Rhode Island</x:v>
      </x:c>
      <x:c r="B18" s="225" t="n">
        <x:v>64.69470596273693</x:v>
      </x:c>
      <x:c r="C18" s="226" t="n">
        <x:v>26652.014444444445</x:v>
      </x:c>
    </x:row>
    <x:row r="19">
      <x:c r="A19" t="str">
        <x:v>Maryland</x:v>
      </x:c>
      <x:c r="B19" s="225" t="n">
        <x:v>62.30705946781368</x:v>
      </x:c>
      <x:c r="C19" s="226" t="n">
        <x:v>20084.55074626866</x:v>
      </x:c>
    </x:row>
    <x:row r="20">
      <x:c r="A20" t="str">
        <x:v>New York</x:v>
      </x:c>
      <x:c r="B20" s="225" t="n">
        <x:v>61.725100376257444</x:v>
      </x:c>
      <x:c r="C20" s="226" t="n">
        <x:v>27097.73233896807</x:v>
      </x:c>
    </x:row>
    <x:row r="40">
      <x:c r="A40" s="257" t="str">
        <x:v>Interpretation: reported loss per capita equals the complaint rate multiplied by average loss per complaint. The decomposition suggests internet access is linked more to reported exposure, while income is linked more to the value lost in each complaint.</x:v>
      </x:c>
      <x:c r="B40" s="257"/>
      <x:c r="C40" s="257"/>
      <x:c r="D40" s="257"/>
      <x:c r="E40" s="257"/>
      <x:c r="F40" s="257"/>
      <x:c r="G40" s="257"/>
      <x:c r="H40" s="257"/>
      <x:c r="I40" s="257"/>
      <x:c r="J40" s="257"/>
      <x:c r="K40" s="257"/>
      <x:c r="L40" s="257"/>
      <x:c r="M40" s="257"/>
      <x:c r="N40" s="257"/>
    </x:row>
    <x:row r="41">
      <x:c r="A41" s="257"/>
      <x:c r="B41" s="257"/>
      <x:c r="C41" s="257"/>
      <x:c r="D41" s="257"/>
      <x:c r="E41" s="257"/>
      <x:c r="F41" s="257"/>
      <x:c r="G41" s="257"/>
      <x:c r="H41" s="257"/>
      <x:c r="I41" s="257"/>
      <x:c r="J41" s="257"/>
      <x:c r="K41" s="257"/>
      <x:c r="L41" s="257"/>
      <x:c r="M41" s="257"/>
      <x:c r="N41" s="257"/>
    </x:row>
    <x:row r="42">
      <x:c r="A42" s="257"/>
      <x:c r="B42" s="257"/>
      <x:c r="C42" s="257"/>
      <x:c r="D42" s="257"/>
      <x:c r="E42" s="257"/>
      <x:c r="F42" s="257"/>
      <x:c r="G42" s="257"/>
      <x:c r="H42" s="257"/>
      <x:c r="I42" s="257"/>
      <x:c r="J42" s="257"/>
      <x:c r="K42" s="257"/>
      <x:c r="L42" s="257"/>
      <x:c r="M42" s="257"/>
      <x:c r="N42" s="257"/>
    </x:row>
  </x:sheetData>
  <x:mergeCells>
    <x:mergeCell ref="A1:N2"/>
    <x:mergeCell ref="A3:N3"/>
    <x:mergeCell ref="A5:C5"/>
    <x:mergeCell ref="D5:F5"/>
    <x:mergeCell ref="G5:J5"/>
    <x:mergeCell ref="K5:N5"/>
    <x:mergeCell ref="A6:C7"/>
    <x:mergeCell ref="D6:F7"/>
    <x:mergeCell ref="G6:J7"/>
    <x:mergeCell ref="K6:N7"/>
    <x:mergeCell ref="A9:F9"/>
    <x:mergeCell ref="H9:N9"/>
    <x:mergeCell ref="H10:N17"/>
    <x:mergeCell ref="A40:N42"/>
  </x:mergeCells>
  <x:pageMargins left="0.7" right="0.7" top="0.75" bottom="0.75" header="0.3" footer="0.3"/>
  <x:drawing xmlns:r="http://schemas.openxmlformats.org/officeDocument/2006/relationships" r:id="Rc07663cb080845fa"/>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3.75" hidden="0" customWidth="1"/>
    <x:col min="3" max="3" width="14.130000114440918" hidden="0" customWidth="1"/>
    <x:col min="4" max="4" width="20.8799991607666" hidden="0" customWidth="1"/>
    <x:col min="5" max="5" width="11.380000114440918" hidden="0" customWidth="1"/>
    <x:col min="6" max="6" width="9.5" hidden="0" customWidth="1"/>
    <x:col min="7" max="7" width="15.880000114440918" hidden="0" customWidth="1"/>
    <x:col min="8" max="8" width="17" hidden="0" customWidth="1"/>
    <x:col min="9" max="9" width="18.6299991607666" hidden="0" customWidth="1"/>
    <x:col min="10" max="10" width="16.25" hidden="0" customWidth="1"/>
    <x:col min="11" max="11" width="11.75" hidden="0" customWidth="1"/>
    <x:col min="12" max="12" width="14.75" hidden="0" customWidth="1"/>
    <x:col min="13" max="13" width="11.25" hidden="0" customWidth="1"/>
    <x:col min="14" max="14" width="19.75" hidden="0" customWidth="1"/>
    <x:col min="15" max="15" width="13" hidden="0" customWidth="1"/>
    <x:col min="16" max="16" width="34" hidden="0" customWidth="1"/>
    <x:col min="17" max="17" width="34" hidden="0" customWidth="1"/>
  </x:cols>
  <x:sheetData>
    <x:row r="1" ht="38" customHeight="1">
      <x:c r="A1" s="174" t="str">
        <x:v>State</x:v>
      </x:c>
      <x:c r="B1" s="174" t="str">
        <x:v>FIPS</x:v>
      </x:c>
      <x:c r="C1" s="174" t="str">
        <x:v>Population (2024)</x:v>
      </x:c>
      <x:c r="D1" s="174" t="str">
        <x:v>Median household income</x:v>
      </x:c>
      <x:c r="E1" s="174" t="str">
        <x:v>Age 65+ count</x:v>
      </x:c>
      <x:c r="F1" s="174" t="str">
        <x:v>Households</x:v>
      </x:c>
      <x:c r="G1" s="174" t="str">
        <x:v>Internet households</x:v>
      </x:c>
      <x:c r="H1" s="174" t="str">
        <x:v>IC3 complaints (2025)</x:v>
      </x:c>
      <x:c r="I1" s="174" t="str">
        <x:v>IC3 reported loss (2025)</x:v>
      </x:c>
      <x:c r="J1" s="174" t="str">
        <x:v>Complaints per 100k</x:v>
      </x:c>
      <x:c r="K1" s="174" t="str">
        <x:v>Loss per capita</x:v>
      </x:c>
      <x:c r="L1" s="174" t="str">
        <x:v>Loss per complaint</x:v>
      </x:c>
      <x:c r="M1" s="174" t="str">
        <x:v>Age 65+ share</x:v>
      </x:c>
      <x:c r="N1" s="174" t="str">
        <x:v>Internet household share</x:v>
      </x:c>
      <x:c r="O1" s="174" t="str">
        <x:v>Loss/capita rank</x:v>
      </x:c>
      <x:c r="P1" s="174" t="str">
        <x:v>IC3 source</x:v>
      </x:c>
      <x:c r="Q1" s="174" t="str">
        <x:v>Census source</x:v>
      </x:c>
    </x:row>
    <x:row r="2">
      <x:c r="A2" s="176" t="str">
        <x:v>District of Columbia</x:v>
      </x:c>
      <x:c r="B2" s="176" t="str">
        <x:v>11</x:v>
      </x:c>
      <x:c r="C2" s="179" t="n">
        <x:v>702250</x:v>
      </x:c>
      <x:c r="D2" s="182" t="n">
        <x:v>109707</x:v>
      </x:c>
      <x:c r="E2" s="179" t="n">
        <x:v>90674</x:v>
      </x:c>
      <x:c r="F2" s="179" t="n">
        <x:v>329687</x:v>
      </x:c>
      <x:c r="G2" s="179" t="n">
        <x:v>305049</x:v>
      </x:c>
      <x:c r="H2" s="179" t="n">
        <x:v>3113</x:v>
      </x:c>
      <x:c r="I2" s="179" t="n">
        <x:v>97368097</x:v>
      </x:c>
      <x:c r="J2" s="185" t="n">
        <x:f>H2/C2*100000</x:f>
        <x:v>443.2894268422926</x:v>
      </x:c>
      <x:c r="K2" s="188" t="n">
        <x:f>I2/C2</x:f>
        <x:v>138.6516155215379</x:v>
      </x:c>
      <x:c r="L2" s="182" t="n">
        <x:f>I2/H2</x:f>
        <x:v>31277.89816896884</x:v>
      </x:c>
      <x:c r="M2" s="191" t="n">
        <x:f>E2/C2</x:f>
        <x:v>0.1291192595229619</x:v>
      </x:c>
      <x:c r="N2" s="191" t="n">
        <x:f>G2/F2</x:f>
        <x:v>0.9252685122555636</x:v>
      </x:c>
      <x:c r="O2" s="194" t="n">
        <x:f>RANK(K2,$K$2:$K$52,0)</x:f>
        <x:v>1</x:v>
      </x:c>
      <x:c r="P2" s="176" t="str">
        <x:v>https://www.ic3.gov/AnnualReport/Reports/2025_IC3Report.pdf</x:v>
      </x:c>
      <x:c r="Q2" s="176" t="str">
        <x:v>https://www.census.gov/programs-surveys/acs/data/summary-file.2024.html</x:v>
      </x:c>
    </x:row>
    <x:row r="3">
      <x:c r="A3" s="177" t="str">
        <x:v>California</x:v>
      </x:c>
      <x:c r="B3" s="177" t="str">
        <x:v>06</x:v>
      </x:c>
      <x:c r="C3" s="180" t="n">
        <x:v>39431263</x:v>
      </x:c>
      <x:c r="D3" s="183" t="n">
        <x:v>100149</x:v>
      </x:c>
      <x:c r="E3" s="180" t="n">
        <x:v>6524861</x:v>
      </x:c>
      <x:c r="F3" s="180" t="n">
        <x:v>13797638</x:v>
      </x:c>
      <x:c r="G3" s="180" t="n">
        <x:v>13118219</x:v>
      </x:c>
      <x:c r="H3" s="180" t="n">
        <x:v>116414</x:v>
      </x:c>
      <x:c r="I3" s="180" t="n">
        <x:v>3674716305</x:v>
      </x:c>
      <x:c r="J3" s="186" t="n">
        <x:f>H3/C3*100000</x:f>
        <x:v>295.23274463716774</x:v>
      </x:c>
      <x:c r="K3" s="189" t="n">
        <x:f>I3/C3</x:f>
        <x:v>93.1929648056163</x:v>
      </x:c>
      <x:c r="L3" s="183" t="n">
        <x:f>I3/H3</x:f>
        <x:v>31565.931116532374</x:v>
      </x:c>
      <x:c r="M3" s="192" t="n">
        <x:f>E3/C3</x:f>
        <x:v>0.16547430905269253</x:v>
      </x:c>
      <x:c r="N3" s="192" t="n">
        <x:f>G3/F3</x:f>
        <x:v>0.9507583109514831</x:v>
      </x:c>
      <x:c r="O3" s="195" t="n">
        <x:f>RANK(K3,$K$2:$K$52,0)</x:f>
        <x:v>2</x:v>
      </x:c>
      <x:c r="P3" s="177" t="str">
        <x:v>https://www.ic3.gov/AnnualReport/Reports/2025_IC3Report.pdf</x:v>
      </x:c>
      <x:c r="Q3" s="177" t="str">
        <x:v>https://www.census.gov/programs-surveys/acs/data/summary-file.2024.html</x:v>
      </x:c>
    </x:row>
    <x:row r="4">
      <x:c r="A4" s="177" t="str">
        <x:v>Nevada</x:v>
      </x:c>
      <x:c r="B4" s="177" t="str">
        <x:v>32</x:v>
      </x:c>
      <x:c r="C4" s="180" t="n">
        <x:v>3267467</x:v>
      </x:c>
      <x:c r="D4" s="183" t="n">
        <x:v>81134</x:v>
      </x:c>
      <x:c r="E4" s="180" t="n">
        <x:v>575351</x:v>
      </x:c>
      <x:c r="F4" s="180" t="n">
        <x:v>1238925</x:v>
      </x:c>
      <x:c r="G4" s="180" t="n">
        <x:v>1179164</x:v>
      </x:c>
      <x:c r="H4" s="180" t="n">
        <x:v>13366</x:v>
      </x:c>
      <x:c r="I4" s="180" t="n">
        <x:v>302235247</x:v>
      </x:c>
      <x:c r="J4" s="186" t="n">
        <x:f>H4/C4*100000</x:f>
        <x:v>409.0630448601317</x:v>
      </x:c>
      <x:c r="K4" s="189" t="n">
        <x:f>I4/C4</x:f>
        <x:v>92.49833188827921</x:v>
      </x:c>
      <x:c r="L4" s="183" t="n">
        <x:f>I4/H4</x:f>
        <x:v>22612.243528355528</x:v>
      </x:c>
      <x:c r="M4" s="192" t="n">
        <x:f>E4/C4</x:f>
        <x:v>0.17608471638734224</x:v>
      </x:c>
      <x:c r="N4" s="192" t="n">
        <x:f>G4/F4</x:f>
        <x:v>0.9517638275117541</x:v>
      </x:c>
      <x:c r="O4" s="195" t="n">
        <x:f>RANK(K4,$K$2:$K$52,0)</x:f>
        <x:v>3</x:v>
      </x:c>
      <x:c r="P4" s="177" t="str">
        <x:v>https://www.ic3.gov/AnnualReport/Reports/2025_IC3Report.pdf</x:v>
      </x:c>
      <x:c r="Q4" s="177" t="str">
        <x:v>https://www.census.gov/programs-surveys/acs/data/summary-file.2024.html</x:v>
      </x:c>
    </x:row>
    <x:row r="5">
      <x:c r="A5" s="177" t="str">
        <x:v>Arizona</x:v>
      </x:c>
      <x:c r="B5" s="177" t="str">
        <x:v>04</x:v>
      </x:c>
      <x:c r="C5" s="180" t="n">
        <x:v>7582384</x:v>
      </x:c>
      <x:c r="D5" s="183" t="n">
        <x:v>81486</x:v>
      </x:c>
      <x:c r="E5" s="180" t="n">
        <x:v>1491158</x:v>
      </x:c>
      <x:c r="F5" s="180" t="n">
        <x:v>2982475</x:v>
      </x:c>
      <x:c r="G5" s="180" t="n">
        <x:v>2793592</x:v>
      </x:c>
      <x:c r="H5" s="180" t="n">
        <x:v>28868</x:v>
      </x:c>
      <x:c r="I5" s="180" t="n">
        <x:v>630700609</x:v>
      </x:c>
      <x:c r="J5" s="186" t="n">
        <x:f>H5/C5*100000</x:f>
        <x:v>380.7245847743929</x:v>
      </x:c>
      <x:c r="K5" s="189" t="n">
        <x:f>I5/C5</x:f>
        <x:v>83.1797240815026</x:v>
      </x:c>
      <x:c r="L5" s="183" t="n">
        <x:f>I5/H5</x:f>
        <x:v>21847.74175557711</x:v>
      </x:c>
      <x:c r="M5" s="192" t="n">
        <x:f>E5/C5</x:f>
        <x:v>0.19666083912394836</x:v>
      </x:c>
      <x:c r="N5" s="192" t="n">
        <x:f>G5/F5</x:f>
        <x:v>0.9366690416516483</x:v>
      </x:c>
      <x:c r="O5" s="195" t="n">
        <x:f>RANK(K5,$K$2:$K$52,0)</x:f>
        <x:v>4</x:v>
      </x:c>
      <x:c r="P5" s="177" t="str">
        <x:v>https://www.ic3.gov/AnnualReport/Reports/2025_IC3Report.pdf</x:v>
      </x:c>
      <x:c r="Q5" s="177" t="str">
        <x:v>https://www.census.gov/programs-surveys/acs/data/summary-file.2024.html</x:v>
      </x:c>
    </x:row>
    <x:row r="6">
      <x:c r="A6" s="177" t="str">
        <x:v>Hawaii</x:v>
      </x:c>
      <x:c r="B6" s="177" t="str">
        <x:v>15</x:v>
      </x:c>
      <x:c r="C6" s="180" t="n">
        <x:v>1446146</x:v>
      </x:c>
      <x:c r="D6" s="183" t="n">
        <x:v>100745</x:v>
      </x:c>
      <x:c r="E6" s="180" t="n">
        <x:v>311305</x:v>
      </x:c>
      <x:c r="F6" s="180" t="n">
        <x:v>493151</x:v>
      </x:c>
      <x:c r="G6" s="180" t="n">
        <x:v>459153</x:v>
      </x:c>
      <x:c r="H6" s="180" t="n">
        <x:v>3328</x:v>
      </x:c>
      <x:c r="I6" s="180" t="n">
        <x:v>106447375</x:v>
      </x:c>
      <x:c r="J6" s="186" t="n">
        <x:f>H6/C6*100000</x:f>
        <x:v>230.12890814620377</x:v>
      </x:c>
      <x:c r="K6" s="189" t="n">
        <x:f>I6/C6</x:f>
        <x:v>73.60762675414516</x:v>
      </x:c>
      <x:c r="L6" s="183" t="n">
        <x:f>I6/H6</x:f>
        <x:v>31985.389122596152</x:v>
      </x:c>
      <x:c r="M6" s="192" t="n">
        <x:f>E6/C6</x:f>
        <x:v>0.2152652636732391</x:v>
      </x:c>
      <x:c r="N6" s="192" t="n">
        <x:f>G6/F6</x:f>
        <x:v>0.9310596551563314</x:v>
      </x:c>
      <x:c r="O6" s="195" t="n">
        <x:f>RANK(K6,$K$2:$K$52,0)</x:f>
        <x:v>5</x:v>
      </x:c>
      <x:c r="P6" s="177" t="str">
        <x:v>https://www.ic3.gov/AnnualReport/Reports/2025_IC3Report.pdf</x:v>
      </x:c>
      <x:c r="Q6" s="177" t="str">
        <x:v>https://www.census.gov/programs-surveys/acs/data/summary-file.2024.html</x:v>
      </x:c>
    </x:row>
    <x:row r="7">
      <x:c r="A7" s="177" t="str">
        <x:v>New Jersey</x:v>
      </x:c>
      <x:c r="B7" s="177" t="str">
        <x:v>34</x:v>
      </x:c>
      <x:c r="C7" s="180" t="n">
        <x:v>9500851</x:v>
      </x:c>
      <x:c r="D7" s="183" t="n">
        <x:v>104294</x:v>
      </x:c>
      <x:c r="E7" s="180" t="n">
        <x:v>1706665</x:v>
      </x:c>
      <x:c r="F7" s="180" t="n">
        <x:v>3543944</x:v>
      </x:c>
      <x:c r="G7" s="180" t="n">
        <x:v>3363017</x:v>
      </x:c>
      <x:c r="H7" s="180" t="n">
        <x:v>20648</x:v>
      </x:c>
      <x:c r="I7" s="180" t="n">
        <x:v>660411901</x:v>
      </x:c>
      <x:c r="J7" s="186" t="n">
        <x:f>H7/C7*100000</x:f>
        <x:v>217.32790041649955</x:v>
      </x:c>
      <x:c r="K7" s="189" t="n">
        <x:f>I7/C7</x:f>
        <x:v>69.51081550484267</x:v>
      </x:c>
      <x:c r="L7" s="183" t="n">
        <x:f>I7/H7</x:f>
        <x:v>31984.30361294072</x:v>
      </x:c>
      <x:c r="M7" s="192" t="n">
        <x:f>E7/C7</x:f>
        <x:v>0.17963285604626364</x:v>
      </x:c>
      <x:c r="N7" s="192" t="n">
        <x:f>G7/F7</x:f>
        <x:v>0.9489475567334021</x:v>
      </x:c>
      <x:c r="O7" s="195" t="n">
        <x:f>RANK(K7,$K$2:$K$52,0)</x:f>
        <x:v>6</x:v>
      </x:c>
      <x:c r="P7" s="177" t="str">
        <x:v>https://www.ic3.gov/AnnualReport/Reports/2025_IC3Report.pdf</x:v>
      </x:c>
      <x:c r="Q7" s="177" t="str">
        <x:v>https://www.census.gov/programs-surveys/acs/data/summary-file.2024.html</x:v>
      </x:c>
    </x:row>
    <x:row r="8">
      <x:c r="A8" s="177" t="str">
        <x:v>Florida</x:v>
      </x:c>
      <x:c r="B8" s="177" t="str">
        <x:v>12</x:v>
      </x:c>
      <x:c r="C8" s="180" t="n">
        <x:v>23372215</x:v>
      </x:c>
      <x:c r="D8" s="183" t="n">
        <x:v>77735</x:v>
      </x:c>
      <x:c r="E8" s="180" t="n">
        <x:v>5094353</x:v>
      </x:c>
      <x:c r="F8" s="180" t="n">
        <x:v>9141675</x:v>
      </x:c>
      <x:c r="G8" s="180" t="n">
        <x:v>8623163</x:v>
      </x:c>
      <x:c r="H8" s="180" t="n">
        <x:v>71843</x:v>
      </x:c>
      <x:c r="I8" s="180" t="n">
        <x:v>1596138595</x:v>
      </x:c>
      <x:c r="J8" s="186" t="n">
        <x:f>H8/C8*100000</x:f>
        <x:v>307.38635597866954</x:v>
      </x:c>
      <x:c r="K8" s="189" t="n">
        <x:f>I8/C8</x:f>
        <x:v>68.29214068927571</x:v>
      </x:c>
      <x:c r="L8" s="183" t="n">
        <x:f>I8/H8</x:f>
        <x:v>22217.03708085687</x:v>
      </x:c>
      <x:c r="M8" s="192" t="n">
        <x:f>E8/C8</x:f>
        <x:v>0.21796620474353842</x:v>
      </x:c>
      <x:c r="N8" s="192" t="n">
        <x:f>G8/F8</x:f>
        <x:v>0.9432804163350809</x:v>
      </x:c>
      <x:c r="O8" s="195" t="n">
        <x:f>RANK(K8,$K$2:$K$52,0)</x:f>
        <x:v>7</x:v>
      </x:c>
      <x:c r="P8" s="177" t="str">
        <x:v>https://www.ic3.gov/AnnualReport/Reports/2025_IC3Report.pdf</x:v>
      </x:c>
      <x:c r="Q8" s="177" t="str">
        <x:v>https://www.census.gov/programs-surveys/acs/data/summary-file.2024.html</x:v>
      </x:c>
    </x:row>
    <x:row r="9">
      <x:c r="A9" s="177" t="str">
        <x:v>Rhode Island</x:v>
      </x:c>
      <x:c r="B9" s="177" t="str">
        <x:v>44</x:v>
      </x:c>
      <x:c r="C9" s="180" t="n">
        <x:v>1112308</x:v>
      </x:c>
      <x:c r="D9" s="183" t="n">
        <x:v>83504</x:v>
      </x:c>
      <x:c r="E9" s="180" t="n">
        <x:v>220168</x:v>
      </x:c>
      <x:c r="F9" s="180" t="n">
        <x:v>448318</x:v>
      </x:c>
      <x:c r="G9" s="180" t="n">
        <x:v>419590</x:v>
      </x:c>
      <x:c r="H9" s="180" t="n">
        <x:v>2700</x:v>
      </x:c>
      <x:c r="I9" s="180" t="n">
        <x:v>71960439</x:v>
      </x:c>
      <x:c r="J9" s="186" t="n">
        <x:f>H9/C9*100000</x:f>
        <x:v>242.73852206403262</x:v>
      </x:c>
      <x:c r="K9" s="189" t="n">
        <x:f>I9/C9</x:f>
        <x:v>64.69470596273693</x:v>
      </x:c>
      <x:c r="L9" s="183" t="n">
        <x:f>I9/H9</x:f>
        <x:v>26652.014444444445</x:v>
      </x:c>
      <x:c r="M9" s="192" t="n">
        <x:f>E9/C9</x:f>
        <x:v>0.19793798120664421</x:v>
      </x:c>
      <x:c r="N9" s="192" t="n">
        <x:f>G9/F9</x:f>
        <x:v>0.9359204850128703</x:v>
      </x:c>
      <x:c r="O9" s="195" t="n">
        <x:f>RANK(K9,$K$2:$K$52,0)</x:f>
        <x:v>8</x:v>
      </x:c>
      <x:c r="P9" s="177" t="str">
        <x:v>https://www.ic3.gov/AnnualReport/Reports/2025_IC3Report.pdf</x:v>
      </x:c>
      <x:c r="Q9" s="177" t="str">
        <x:v>https://www.census.gov/programs-surveys/acs/data/summary-file.2024.html</x:v>
      </x:c>
    </x:row>
    <x:row r="10">
      <x:c r="A10" s="177" t="str">
        <x:v>Maryland</x:v>
      </x:c>
      <x:c r="B10" s="177" t="str">
        <x:v>24</x:v>
      </x:c>
      <x:c r="C10" s="180" t="n">
        <x:v>6263220</x:v>
      </x:c>
      <x:c r="D10" s="183" t="n">
        <x:v>102905</x:v>
      </x:c>
      <x:c r="E10" s="180" t="n">
        <x:v>1099752</x:v>
      </x:c>
      <x:c r="F10" s="180" t="n">
        <x:v>2401394</x:v>
      </x:c>
      <x:c r="G10" s="180" t="n">
        <x:v>2269274</x:v>
      </x:c>
      <x:c r="H10" s="180" t="n">
        <x:v>19430</x:v>
      </x:c>
      <x:c r="I10" s="180" t="n">
        <x:v>390242821</x:v>
      </x:c>
      <x:c r="J10" s="186" t="n">
        <x:f>H10/C10*100000</x:f>
        <x:v>310.22381458738477</x:v>
      </x:c>
      <x:c r="K10" s="189" t="n">
        <x:f>I10/C10</x:f>
        <x:v>62.30705946781368</x:v>
      </x:c>
      <x:c r="L10" s="183" t="n">
        <x:f>I10/H10</x:f>
        <x:v>20084.55074626866</x:v>
      </x:c>
      <x:c r="M10" s="192" t="n">
        <x:f>E10/C10</x:f>
        <x:v>0.17558891432841253</x:v>
      </x:c>
      <x:c r="N10" s="192" t="n">
        <x:f>G10/F10</x:f>
        <x:v>0.9449819563137077</x:v>
      </x:c>
      <x:c r="O10" s="195" t="n">
        <x:f>RANK(K10,$K$2:$K$52,0)</x:f>
        <x:v>9</x:v>
      </x:c>
      <x:c r="P10" s="177" t="str">
        <x:v>https://www.ic3.gov/AnnualReport/Reports/2025_IC3Report.pdf</x:v>
      </x:c>
      <x:c r="Q10" s="177" t="str">
        <x:v>https://www.census.gov/programs-surveys/acs/data/summary-file.2024.html</x:v>
      </x:c>
    </x:row>
    <x:row r="11">
      <x:c r="A11" s="177" t="str">
        <x:v>New York</x:v>
      </x:c>
      <x:c r="B11" s="177" t="str">
        <x:v>36</x:v>
      </x:c>
      <x:c r="C11" s="180" t="n">
        <x:v>19867248</x:v>
      </x:c>
      <x:c r="D11" s="183" t="n">
        <x:v>85820</x:v>
      </x:c>
      <x:c r="E11" s="180" t="n">
        <x:v>3757173</x:v>
      </x:c>
      <x:c r="F11" s="180" t="n">
        <x:v>7828074</x:v>
      </x:c>
      <x:c r="G11" s="180" t="n">
        <x:v>7295765</x:v>
      </x:c>
      <x:c r="H11" s="180" t="n">
        <x:v>45255</x:v>
      </x:c>
      <x:c r="I11" s="180" t="n">
        <x:v>1226307877</x:v>
      </x:c>
      <x:c r="J11" s="186" t="n">
        <x:f>H11/C11*100000</x:f>
        <x:v>227.78695871718116</x:v>
      </x:c>
      <x:c r="K11" s="189" t="n">
        <x:f>I11/C11</x:f>
        <x:v>61.725100376257444</x:v>
      </x:c>
      <x:c r="L11" s="183" t="n">
        <x:f>I11/H11</x:f>
        <x:v>27097.73233896807</x:v>
      </x:c>
      <x:c r="M11" s="192" t="n">
        <x:f>E11/C11</x:f>
        <x:v>0.1891139125056475</x:v>
      </x:c>
      <x:c r="N11" s="192" t="n">
        <x:f>G11/F11</x:f>
        <x:v>0.932000004087851</x:v>
      </x:c>
      <x:c r="O11" s="195" t="n">
        <x:f>RANK(K11,$K$2:$K$52,0)</x:f>
        <x:v>10</x:v>
      </x:c>
      <x:c r="P11" s="177" t="str">
        <x:v>https://www.ic3.gov/AnnualReport/Reports/2025_IC3Report.pdf</x:v>
      </x:c>
      <x:c r="Q11" s="177" t="str">
        <x:v>https://www.census.gov/programs-surveys/acs/data/summary-file.2024.html</x:v>
      </x:c>
    </x:row>
    <x:row r="12">
      <x:c r="A12" s="177" t="str">
        <x:v>Connecticut</x:v>
      </x:c>
      <x:c r="B12" s="177" t="str">
        <x:v>09</x:v>
      </x:c>
      <x:c r="C12" s="180" t="n">
        <x:v>3675069</x:v>
      </x:c>
      <x:c r="D12" s="183" t="n">
        <x:v>96049</x:v>
      </x:c>
      <x:c r="E12" s="180" t="n">
        <x:v>713337</x:v>
      </x:c>
      <x:c r="F12" s="180" t="n">
        <x:v>1455235</x:v>
      </x:c>
      <x:c r="G12" s="180" t="n">
        <x:v>1370072</x:v>
      </x:c>
      <x:c r="H12" s="180" t="n">
        <x:v>9714</x:v>
      </x:c>
      <x:c r="I12" s="180" t="n">
        <x:v>219500212</x:v>
      </x:c>
      <x:c r="J12" s="186" t="n">
        <x:f>H12/C12*100000</x:f>
        <x:v>264.3215678399508</x:v>
      </x:c>
      <x:c r="K12" s="189" t="n">
        <x:f>I12/C12</x:f>
        <x:v>59.72682744187932</x:v>
      </x:c>
      <x:c r="L12" s="183" t="n">
        <x:f>I12/H12</x:f>
        <x:v>22596.274655136916</x:v>
      </x:c>
      <x:c r="M12" s="192" t="n">
        <x:f>E12/C12</x:f>
        <x:v>0.19410166176471788</x:v>
      </x:c>
      <x:c r="N12" s="192" t="n">
        <x:f>G12/F12</x:f>
        <x:v>0.9414781805000567</x:v>
      </x:c>
      <x:c r="O12" s="195" t="n">
        <x:f>RANK(K12,$K$2:$K$52,0)</x:f>
        <x:v>11</x:v>
      </x:c>
      <x:c r="P12" s="177" t="str">
        <x:v>https://www.ic3.gov/AnnualReport/Reports/2025_IC3Report.pdf</x:v>
      </x:c>
      <x:c r="Q12" s="177" t="str">
        <x:v>https://www.census.gov/programs-surveys/acs/data/summary-file.2024.html</x:v>
      </x:c>
    </x:row>
    <x:row r="13">
      <x:c r="A13" s="177" t="str">
        <x:v>Colorado</x:v>
      </x:c>
      <x:c r="B13" s="177" t="str">
        <x:v>08</x:v>
      </x:c>
      <x:c r="C13" s="180" t="n">
        <x:v>5957494</x:v>
      </x:c>
      <x:c r="D13" s="183" t="n">
        <x:v>97113</x:v>
      </x:c>
      <x:c r="E13" s="180" t="n">
        <x:v>980364</x:v>
      </x:c>
      <x:c r="F13" s="180" t="n">
        <x:v>2479892</x:v>
      </x:c>
      <x:c r="G13" s="180" t="n">
        <x:v>2356145</x:v>
      </x:c>
      <x:c r="H13" s="180" t="n">
        <x:v>18847</x:v>
      </x:c>
      <x:c r="I13" s="180" t="n">
        <x:v>355049719</x:v>
      </x:c>
      <x:c r="J13" s="186" t="n">
        <x:f>H13/C13*100000</x:f>
        <x:v>316.3578511367364</x:v>
      </x:c>
      <x:c r="K13" s="189" t="n">
        <x:f>I13/C13</x:f>
        <x:v>59.597159308930905</x:v>
      </x:c>
      <x:c r="L13" s="183" t="n">
        <x:f>I13/H13</x:f>
        <x:v>18838.527033480128</x:v>
      </x:c>
      <x:c r="M13" s="192" t="n">
        <x:f>E13/C13</x:f>
        <x:v>0.16455979645132668</x:v>
      </x:c>
      <x:c r="N13" s="192" t="n">
        <x:f>G13/F13</x:f>
        <x:v>0.9500998430576816</x:v>
      </x:c>
      <x:c r="O13" s="195" t="n">
        <x:f>RANK(K13,$K$2:$K$52,0)</x:f>
        <x:v>12</x:v>
      </x:c>
      <x:c r="P13" s="177" t="str">
        <x:v>https://www.ic3.gov/AnnualReport/Reports/2025_IC3Report.pdf</x:v>
      </x:c>
      <x:c r="Q13" s="177" t="str">
        <x:v>https://www.census.gov/programs-surveys/acs/data/summary-file.2024.html</x:v>
      </x:c>
    </x:row>
    <x:row r="14">
      <x:c r="A14" s="177" t="str">
        <x:v>Delaware</x:v>
      </x:c>
      <x:c r="B14" s="177" t="str">
        <x:v>10</x:v>
      </x:c>
      <x:c r="C14" s="180" t="n">
        <x:v>1051917</x:v>
      </x:c>
      <x:c r="D14" s="183" t="n">
        <x:v>87534</x:v>
      </x:c>
      <x:c r="E14" s="180" t="n">
        <x:v>227824</x:v>
      </x:c>
      <x:c r="F14" s="180" t="n">
        <x:v>412304</x:v>
      </x:c>
      <x:c r="G14" s="180" t="n">
        <x:v>389127</x:v>
      </x:c>
      <x:c r="H14" s="180" t="n">
        <x:v>3089</x:v>
      </x:c>
      <x:c r="I14" s="180" t="n">
        <x:v>62012494</x:v>
      </x:c>
      <x:c r="J14" s="186" t="n">
        <x:f>H14/C14*100000</x:f>
        <x:v>293.65434725363315</x:v>
      </x:c>
      <x:c r="K14" s="189" t="n">
        <x:f>I14/C14</x:f>
        <x:v>58.95188878970489</x:v>
      </x:c>
      <x:c r="L14" s="183" t="n">
        <x:f>I14/H14</x:f>
        <x:v>20075.265134347686</x:v>
      </x:c>
      <x:c r="M14" s="192" t="n">
        <x:f>E14/C14</x:f>
        <x:v>0.21657982521434677</x:v>
      </x:c>
      <x:c r="N14" s="192" t="n">
        <x:f>G14/F14</x:f>
        <x:v>0.9437866234622997</x:v>
      </x:c>
      <x:c r="O14" s="195" t="n">
        <x:f>RANK(K14,$K$2:$K$52,0)</x:f>
        <x:v>13</x:v>
      </x:c>
      <x:c r="P14" s="177" t="str">
        <x:v>https://www.ic3.gov/AnnualReport/Reports/2025_IC3Report.pdf</x:v>
      </x:c>
      <x:c r="Q14" s="177" t="str">
        <x:v>https://www.census.gov/programs-surveys/acs/data/summary-file.2024.html</x:v>
      </x:c>
    </x:row>
    <x:row r="15">
      <x:c r="A15" s="177" t="str">
        <x:v>Texas</x:v>
      </x:c>
      <x:c r="B15" s="177" t="str">
        <x:v>48</x:v>
      </x:c>
      <x:c r="C15" s="180" t="n">
        <x:v>31290831</x:v>
      </x:c>
      <x:c r="D15" s="183" t="n">
        <x:v>79721</x:v>
      </x:c>
      <x:c r="E15" s="180" t="n">
        <x:v>4365469</x:v>
      </x:c>
      <x:c r="F15" s="180" t="n">
        <x:v>11449769</x:v>
      </x:c>
      <x:c r="G15" s="180" t="n">
        <x:v>10734777</x:v>
      </x:c>
      <x:c r="H15" s="180" t="n">
        <x:v>97912</x:v>
      </x:c>
      <x:c r="I15" s="180" t="n">
        <x:v>1825636181</x:v>
      </x:c>
      <x:c r="J15" s="186" t="n">
        <x:f>H15/C15*100000</x:f>
        <x:v>312.9095548788717</x:v>
      </x:c>
      <x:c r="K15" s="189" t="n">
        <x:f>I15/C15</x:f>
        <x:v>58.34412582395143</x:v>
      </x:c>
      <x:c r="L15" s="183" t="n">
        <x:f>I15/H15</x:f>
        <x:v>18645.68368535011</x:v>
      </x:c>
      <x:c r="M15" s="192" t="n">
        <x:f>E15/C15</x:f>
        <x:v>0.139512721793806</x:v>
      </x:c>
      <x:c r="N15" s="192" t="n">
        <x:f>G15/F15</x:f>
        <x:v>0.937554024015681</x:v>
      </x:c>
      <x:c r="O15" s="195" t="n">
        <x:f>RANK(K15,$K$2:$K$52,0)</x:f>
        <x:v>14</x:v>
      </x:c>
      <x:c r="P15" s="177" t="str">
        <x:v>https://www.ic3.gov/AnnualReport/Reports/2025_IC3Report.pdf</x:v>
      </x:c>
      <x:c r="Q15" s="177" t="str">
        <x:v>https://www.census.gov/programs-surveys/acs/data/summary-file.2024.html</x:v>
      </x:c>
    </x:row>
    <x:row r="16">
      <x:c r="A16" s="177" t="str">
        <x:v>Massachusetts</x:v>
      </x:c>
      <x:c r="B16" s="177" t="str">
        <x:v>25</x:v>
      </x:c>
      <x:c r="C16" s="180" t="n">
        <x:v>7136171</x:v>
      </x:c>
      <x:c r="D16" s="183" t="n">
        <x:v>104828</x:v>
      </x:c>
      <x:c r="E16" s="180" t="n">
        <x:v>1335942</x:v>
      </x:c>
      <x:c r="F16" s="180" t="n">
        <x:v>2829804</x:v>
      </x:c>
      <x:c r="G16" s="180" t="n">
        <x:v>2673285</x:v>
      </x:c>
      <x:c r="H16" s="180" t="n">
        <x:v>22936</x:v>
      </x:c>
      <x:c r="I16" s="180" t="n">
        <x:v>410924066</x:v>
      </x:c>
      <x:c r="J16" s="186" t="n">
        <x:f>H16/C16*100000</x:f>
        <x:v>321.40485422784855</x:v>
      </x:c>
      <x:c r="K16" s="189" t="n">
        <x:f>I16/C16</x:f>
        <x:v>57.58327063631182</x:v>
      </x:c>
      <x:c r="L16" s="183" t="n">
        <x:f>I16/H16</x:f>
        <x:v>17916.117282874086</x:v>
      </x:c>
      <x:c r="M16" s="192" t="n">
        <x:f>E16/C16</x:f>
        <x:v>0.18720711709402704</x:v>
      </x:c>
      <x:c r="N16" s="192" t="n">
        <x:f>G16/F16</x:f>
        <x:v>0.9446891021427632</x:v>
      </x:c>
      <x:c r="O16" s="195" t="n">
        <x:f>RANK(K16,$K$2:$K$52,0)</x:f>
        <x:v>15</x:v>
      </x:c>
      <x:c r="P16" s="177" t="str">
        <x:v>https://www.ic3.gov/AnnualReport/Reports/2025_IC3Report.pdf</x:v>
      </x:c>
      <x:c r="Q16" s="177" t="str">
        <x:v>https://www.census.gov/programs-surveys/acs/data/summary-file.2024.html</x:v>
      </x:c>
    </x:row>
    <x:row r="17">
      <x:c r="A17" s="177" t="str">
        <x:v>Washington</x:v>
      </x:c>
      <x:c r="B17" s="177" t="str">
        <x:v>53</x:v>
      </x:c>
      <x:c r="C17" s="180" t="n">
        <x:v>7958180</x:v>
      </x:c>
      <x:c r="D17" s="183" t="n">
        <x:v>99389</x:v>
      </x:c>
      <x:c r="E17" s="180" t="n">
        <x:v>1378508</x:v>
      </x:c>
      <x:c r="F17" s="180" t="n">
        <x:v>3168080</x:v>
      </x:c>
      <x:c r="G17" s="180" t="n">
        <x:v>3012470</x:v>
      </x:c>
      <x:c r="H17" s="180" t="n">
        <x:v>25619</x:v>
      </x:c>
      <x:c r="I17" s="180" t="n">
        <x:v>458165375</x:v>
      </x:c>
      <x:c r="J17" s="186" t="n">
        <x:f>H17/C17*100000</x:f>
        <x:v>321.92033856987405</x:v>
      </x:c>
      <x:c r="K17" s="189" t="n">
        <x:f>I17/C17</x:f>
        <x:v>57.57162755805976</x:v>
      </x:c>
      <x:c r="L17" s="183" t="n">
        <x:f>I17/H17</x:f>
        <x:v>17883.811819352824</x:v>
      </x:c>
      <x:c r="M17" s="192" t="n">
        <x:f>E17/C17</x:f>
        <x:v>0.17321900233470466</x:v>
      </x:c>
      <x:c r="N17" s="192" t="n">
        <x:f>G17/F17</x:f>
        <x:v>0.9508819221736825</x:v>
      </x:c>
      <x:c r="O17" s="195" t="n">
        <x:f>RANK(K17,$K$2:$K$52,0)</x:f>
        <x:v>16</x:v>
      </x:c>
      <x:c r="P17" s="177" t="str">
        <x:v>https://www.ic3.gov/AnnualReport/Reports/2025_IC3Report.pdf</x:v>
      </x:c>
      <x:c r="Q17" s="177" t="str">
        <x:v>https://www.census.gov/programs-surveys/acs/data/summary-file.2024.html</x:v>
      </x:c>
    </x:row>
    <x:row r="18">
      <x:c r="A18" s="177" t="str">
        <x:v>Utah</x:v>
      </x:c>
      <x:c r="B18" s="177" t="str">
        <x:v>49</x:v>
      </x:c>
      <x:c r="C18" s="180" t="n">
        <x:v>3503613</x:v>
      </x:c>
      <x:c r="D18" s="183" t="n">
        <x:v>96658</x:v>
      </x:c>
      <x:c r="E18" s="180" t="n">
        <x:v>434922</x:v>
      </x:c>
      <x:c r="F18" s="180" t="n">
        <x:v>1184428</x:v>
      </x:c>
      <x:c r="G18" s="180" t="n">
        <x:v>1114440</x:v>
      </x:c>
      <x:c r="H18" s="180" t="n">
        <x:v>9903</x:v>
      </x:c>
      <x:c r="I18" s="180" t="n">
        <x:v>195417205</x:v>
      </x:c>
      <x:c r="J18" s="186" t="n">
        <x:f>H18/C18*100000</x:f>
        <x:v>282.65108047036017</x:v>
      </x:c>
      <x:c r="K18" s="189" t="n">
        <x:f>I18/C18</x:f>
        <x:v>55.77591046728049</x:v>
      </x:c>
      <x:c r="L18" s="183" t="n">
        <x:f>I18/H18</x:f>
        <x:v>19733.131879228516</x:v>
      </x:c>
      <x:c r="M18" s="192" t="n">
        <x:f>E18/C18</x:f>
        <x:v>0.1241352854895789</x:v>
      </x:c>
      <x:c r="N18" s="192" t="n">
        <x:f>G18/F18</x:f>
        <x:v>0.9409098737956212</x:v>
      </x:c>
      <x:c r="O18" s="195" t="n">
        <x:f>RANK(K18,$K$2:$K$52,0)</x:f>
        <x:v>17</x:v>
      </x:c>
      <x:c r="P18" s="177" t="str">
        <x:v>https://www.ic3.gov/AnnualReport/Reports/2025_IC3Report.pdf</x:v>
      </x:c>
      <x:c r="Q18" s="177" t="str">
        <x:v>https://www.census.gov/programs-surveys/acs/data/summary-file.2024.html</x:v>
      </x:c>
    </x:row>
    <x:row r="19">
      <x:c r="A19" s="177" t="str">
        <x:v>South Dakota</x:v>
      </x:c>
      <x:c r="B19" s="177" t="str">
        <x:v>46</x:v>
      </x:c>
      <x:c r="C19" s="180" t="n">
        <x:v>924669</x:v>
      </x:c>
      <x:c r="D19" s="183" t="n">
        <x:v>76881</x:v>
      </x:c>
      <x:c r="E19" s="180" t="n">
        <x:v>175902</x:v>
      </x:c>
      <x:c r="F19" s="180" t="n">
        <x:v>382302</x:v>
      </x:c>
      <x:c r="G19" s="180" t="n">
        <x:v>349718</x:v>
      </x:c>
      <x:c r="H19" s="180" t="n">
        <x:v>2514</x:v>
      </x:c>
      <x:c r="I19" s="180" t="n">
        <x:v>51452806</x:v>
      </x:c>
      <x:c r="J19" s="186" t="n">
        <x:f>H19/C19*100000</x:f>
        <x:v>271.8810731191378</x:v>
      </x:c>
      <x:c r="K19" s="189" t="n">
        <x:f>I19/C19</x:f>
        <x:v>55.644566866630115</x:v>
      </x:c>
      <x:c r="L19" s="183" t="n">
        <x:f>I19/H19</x:f>
        <x:v>20466.509944311852</x:v>
      </x:c>
      <x:c r="M19" s="192" t="n">
        <x:f>E19/C19</x:f>
        <x:v>0.1902323966738368</x:v>
      </x:c>
      <x:c r="N19" s="192" t="n">
        <x:f>G19/F19</x:f>
        <x:v>0.9147689522942595</x:v>
      </x:c>
      <x:c r="O19" s="195" t="n">
        <x:f>RANK(K19,$K$2:$K$52,0)</x:f>
        <x:v>18</x:v>
      </x:c>
      <x:c r="P19" s="177" t="str">
        <x:v>https://www.ic3.gov/AnnualReport/Reports/2025_IC3Report.pdf</x:v>
      </x:c>
      <x:c r="Q19" s="177" t="str">
        <x:v>https://www.census.gov/programs-surveys/acs/data/summary-file.2024.html</x:v>
      </x:c>
    </x:row>
    <x:row r="20">
      <x:c r="A20" s="177" t="str">
        <x:v>Virginia</x:v>
      </x:c>
      <x:c r="B20" s="177" t="str">
        <x:v>51</x:v>
      </x:c>
      <x:c r="C20" s="180" t="n">
        <x:v>8811195</x:v>
      </x:c>
      <x:c r="D20" s="183" t="n">
        <x:v>92090</x:v>
      </x:c>
      <x:c r="E20" s="180" t="n">
        <x:v>1550385</x:v>
      </x:c>
      <x:c r="F20" s="180" t="n">
        <x:v>3449307</x:v>
      </x:c>
      <x:c r="G20" s="180" t="n">
        <x:v>3204757</x:v>
      </x:c>
      <x:c r="H20" s="180" t="n">
        <x:v>25314</x:v>
      </x:c>
      <x:c r="I20" s="180" t="n">
        <x:v>476120025</x:v>
      </x:c>
      <x:c r="J20" s="186" t="n">
        <x:f>H20/C20*100000</x:f>
        <x:v>287.2936077342517</x:v>
      </x:c>
      <x:c r="K20" s="189" t="n">
        <x:f>I20/C20</x:f>
        <x:v>54.035806153421866</x:v>
      </x:c>
      <x:c r="L20" s="183" t="n">
        <x:f>I20/H20</x:f>
        <x:v>18808.56541834558</x:v>
      </x:c>
      <x:c r="M20" s="192" t="n">
        <x:f>E20/C20</x:f>
        <x:v>0.17595626926881086</x:v>
      </x:c>
      <x:c r="N20" s="192" t="n">
        <x:f>G20/F20</x:f>
        <x:v>0.9291017007184341</x:v>
      </x:c>
      <x:c r="O20" s="195" t="n">
        <x:f>RANK(K20,$K$2:$K$52,0)</x:f>
        <x:v>19</x:v>
      </x:c>
      <x:c r="P20" s="177" t="str">
        <x:v>https://www.ic3.gov/AnnualReport/Reports/2025_IC3Report.pdf</x:v>
      </x:c>
      <x:c r="Q20" s="177" t="str">
        <x:v>https://www.census.gov/programs-surveys/acs/data/summary-file.2024.html</x:v>
      </x:c>
    </x:row>
    <x:row r="21">
      <x:c r="A21" s="177" t="str">
        <x:v>Alaska</x:v>
      </x:c>
      <x:c r="B21" s="177" t="str">
        <x:v>02</x:v>
      </x:c>
      <x:c r="C21" s="180" t="n">
        <x:v>740133</x:v>
      </x:c>
      <x:c r="D21" s="183" t="n">
        <x:v>95665</x:v>
      </x:c>
      <x:c r="E21" s="180" t="n">
        <x:v>109415</x:v>
      </x:c>
      <x:c r="F21" s="180" t="n">
        <x:v>274045</x:v>
      </x:c>
      <x:c r="G21" s="180" t="n">
        <x:v>256549</x:v>
      </x:c>
      <x:c r="H21" s="180" t="n">
        <x:v>3202</x:v>
      </x:c>
      <x:c r="I21" s="180" t="n">
        <x:v>39972438</x:v>
      </x:c>
      <x:c r="J21" s="186" t="n">
        <x:f>H21/C21*100000</x:f>
        <x:v>432.62494713787925</x:v>
      </x:c>
      <x:c r="K21" s="189" t="n">
        <x:f>I21/C21</x:f>
        <x:v>54.00710142636526</x:v>
      </x:c>
      <x:c r="L21" s="183" t="n">
        <x:f>I21/H21</x:f>
        <x:v>12483.584634603372</x:v>
      </x:c>
      <x:c r="M21" s="192" t="n">
        <x:f>E21/C21</x:f>
        <x:v>0.1478315383856685</x:v>
      </x:c>
      <x:c r="N21" s="192" t="n">
        <x:f>G21/F21</x:f>
        <x:v>0.9361564706526301</x:v>
      </x:c>
      <x:c r="O21" s="195" t="n">
        <x:f>RANK(K21,$K$2:$K$52,0)</x:f>
        <x:v>20</x:v>
      </x:c>
      <x:c r="P21" s="177" t="str">
        <x:v>https://www.ic3.gov/AnnualReport/Reports/2025_IC3Report.pdf</x:v>
      </x:c>
      <x:c r="Q21" s="177" t="str">
        <x:v>https://www.census.gov/programs-surveys/acs/data/summary-file.2024.html</x:v>
      </x:c>
    </x:row>
    <x:row r="22">
      <x:c r="A22" s="177" t="str">
        <x:v>West Virginia</x:v>
      </x:c>
      <x:c r="B22" s="177" t="str">
        <x:v>54</x:v>
      </x:c>
      <x:c r="C22" s="180" t="n">
        <x:v>1769979</x:v>
      </x:c>
      <x:c r="D22" s="183" t="n">
        <x:v>60798</x:v>
      </x:c>
      <x:c r="E22" s="180" t="n">
        <x:v>386851</x:v>
      </x:c>
      <x:c r="F22" s="180" t="n">
        <x:v>740840</x:v>
      </x:c>
      <x:c r="G22" s="180" t="n">
        <x:v>663770</x:v>
      </x:c>
      <x:c r="H22" s="180" t="n">
        <x:v>4209</x:v>
      </x:c>
      <x:c r="I22" s="180" t="n">
        <x:v>92648544</x:v>
      </x:c>
      <x:c r="J22" s="186" t="n">
        <x:f>H22/C22*100000</x:f>
        <x:v>237.79943151867903</x:v>
      </x:c>
      <x:c r="K22" s="189" t="n">
        <x:f>I22/C22</x:f>
        <x:v>52.344431205115995</x:v>
      </x:c>
      <x:c r="L22" s="183" t="n">
        <x:f>I22/H22</x:f>
        <x:v>22012.0085531005</x:v>
      </x:c>
      <x:c r="M22" s="192" t="n">
        <x:f>E22/C22</x:f>
        <x:v>0.21856248011982063</x:v>
      </x:c>
      <x:c r="N22" s="192" t="n">
        <x:f>G22/F22</x:f>
        <x:v>0.8959694400950272</x:v>
      </x:c>
      <x:c r="O22" s="195" t="n">
        <x:f>RANK(K22,$K$2:$K$52,0)</x:f>
        <x:v>21</x:v>
      </x:c>
      <x:c r="P22" s="177" t="str">
        <x:v>https://www.ic3.gov/AnnualReport/Reports/2025_IC3Report.pdf</x:v>
      </x:c>
      <x:c r="Q22" s="177" t="str">
        <x:v>https://www.census.gov/programs-surveys/acs/data/summary-file.2024.html</x:v>
      </x:c>
    </x:row>
    <x:row r="23">
      <x:c r="A23" s="177" t="str">
        <x:v>Kansas</x:v>
      </x:c>
      <x:c r="B23" s="177" t="str">
        <x:v>20</x:v>
      </x:c>
      <x:c r="C23" s="180" t="n">
        <x:v>2970606</x:v>
      </x:c>
      <x:c r="D23" s="183" t="n">
        <x:v>75514</x:v>
      </x:c>
      <x:c r="E23" s="180" t="n">
        <x:v>533774</x:v>
      </x:c>
      <x:c r="F23" s="180" t="n">
        <x:v>1204374</x:v>
      </x:c>
      <x:c r="G23" s="180" t="n">
        <x:v>1115757</x:v>
      </x:c>
      <x:c r="H23" s="180" t="n">
        <x:v>7927</x:v>
      </x:c>
      <x:c r="I23" s="180" t="n">
        <x:v>147337101</x:v>
      </x:c>
      <x:c r="J23" s="186" t="n">
        <x:f>H23/C23*100000</x:f>
        <x:v>266.84790914715717</x:v>
      </x:c>
      <x:c r="K23" s="189" t="n">
        <x:f>I23/C23</x:f>
        <x:v>49.59833145156241</x:v>
      </x:c>
      <x:c r="L23" s="183" t="n">
        <x:f>I23/H23</x:f>
        <x:v>18586.7416424877</x:v>
      </x:c>
      <x:c r="M23" s="192" t="n">
        <x:f>E23/C23</x:f>
        <x:v>0.17968522247649132</x:v>
      </x:c>
      <x:c r="N23" s="192" t="n">
        <x:f>G23/F23</x:f>
        <x:v>0.926420696561035</x:v>
      </x:c>
      <x:c r="O23" s="195" t="n">
        <x:f>RANK(K23,$K$2:$K$52,0)</x:f>
        <x:v>22</x:v>
      </x:c>
      <x:c r="P23" s="177" t="str">
        <x:v>https://www.ic3.gov/AnnualReport/Reports/2025_IC3Report.pdf</x:v>
      </x:c>
      <x:c r="Q23" s="177" t="str">
        <x:v>https://www.census.gov/programs-surveys/acs/data/summary-file.2024.html</x:v>
      </x:c>
    </x:row>
    <x:row r="24">
      <x:c r="A24" s="177" t="str">
        <x:v>South Carolina</x:v>
      </x:c>
      <x:c r="B24" s="177" t="str">
        <x:v>45</x:v>
      </x:c>
      <x:c r="C24" s="180" t="n">
        <x:v>5478831</x:v>
      </x:c>
      <x:c r="D24" s="183" t="n">
        <x:v>72350</x:v>
      </x:c>
      <x:c r="E24" s="180" t="n">
        <x:v>1082724</x:v>
      </x:c>
      <x:c r="F24" s="180" t="n">
        <x:v>2222890</x:v>
      </x:c>
      <x:c r="G24" s="180" t="n">
        <x:v>2066101</x:v>
      </x:c>
      <x:c r="H24" s="180" t="n">
        <x:v>14699</x:v>
      </x:c>
      <x:c r="I24" s="180" t="n">
        <x:v>264083026</x:v>
      </x:c>
      <x:c r="J24" s="186" t="n">
        <x:f>H24/C24*100000</x:f>
        <x:v>268.28715833724385</x:v>
      </x:c>
      <x:c r="K24" s="189" t="n">
        <x:f>I24/C24</x:f>
        <x:v>48.20061542325361</x:v>
      </x:c>
      <x:c r="L24" s="183" t="n">
        <x:f>I24/H24</x:f>
        <x:v>17966.05388121641</x:v>
      </x:c>
      <x:c r="M24" s="192" t="n">
        <x:f>E24/C24</x:f>
        <x:v>0.1976195286914307</x:v>
      </x:c>
      <x:c r="N24" s="192" t="n">
        <x:f>G24/F24</x:f>
        <x:v>0.9294661454233003</x:v>
      </x:c>
      <x:c r="O24" s="195" t="n">
        <x:f>RANK(K24,$K$2:$K$52,0)</x:f>
        <x:v>23</x:v>
      </x:c>
      <x:c r="P24" s="177" t="str">
        <x:v>https://www.ic3.gov/AnnualReport/Reports/2025_IC3Report.pdf</x:v>
      </x:c>
      <x:c r="Q24" s="177" t="str">
        <x:v>https://www.census.gov/programs-surveys/acs/data/summary-file.2024.html</x:v>
      </x:c>
    </x:row>
    <x:row r="25">
      <x:c r="A25" s="177" t="str">
        <x:v>Georgia</x:v>
      </x:c>
      <x:c r="B25" s="177" t="str">
        <x:v>13</x:v>
      </x:c>
      <x:c r="C25" s="180" t="n">
        <x:v>11180878</x:v>
      </x:c>
      <x:c r="D25" s="183" t="n">
        <x:v>79991</x:v>
      </x:c>
      <x:c r="E25" s="180" t="n">
        <x:v>1765603</x:v>
      </x:c>
      <x:c r="F25" s="180" t="n">
        <x:v>4220732</x:v>
      </x:c>
      <x:c r="G25" s="180" t="n">
        <x:v>3946702</x:v>
      </x:c>
      <x:c r="H25" s="180" t="n">
        <x:v>25936</x:v>
      </x:c>
      <x:c r="I25" s="180" t="n">
        <x:v>534581965</x:v>
      </x:c>
      <x:c r="J25" s="186" t="n">
        <x:f>H25/C25*100000</x:f>
        <x:v>231.9674716064338</x:v>
      </x:c>
      <x:c r="K25" s="189" t="n">
        <x:f>I25/C25</x:f>
        <x:v>47.812163320268766</x:v>
      </x:c>
      <x:c r="L25" s="183" t="n">
        <x:f>I25/H25</x:f>
        <x:v>20611.581007094384</x:v>
      </x:c>
      <x:c r="M25" s="192" t="n">
        <x:f>E25/C25</x:f>
        <x:v>0.15791273279254098</x:v>
      </x:c>
      <x:c r="N25" s="192" t="n">
        <x:f>G25/F25</x:f>
        <x:v>0.9350752428725634</x:v>
      </x:c>
      <x:c r="O25" s="195" t="n">
        <x:f>RANK(K25,$K$2:$K$52,0)</x:f>
        <x:v>24</x:v>
      </x:c>
      <x:c r="P25" s="177" t="str">
        <x:v>https://www.ic3.gov/AnnualReport/Reports/2025_IC3Report.pdf</x:v>
      </x:c>
      <x:c r="Q25" s="177" t="str">
        <x:v>https://www.census.gov/programs-surveys/acs/data/summary-file.2024.html</x:v>
      </x:c>
    </x:row>
    <x:row r="26">
      <x:c r="A26" s="177" t="str">
        <x:v>North Dakota</x:v>
      </x:c>
      <x:c r="B26" s="177" t="str">
        <x:v>38</x:v>
      </x:c>
      <x:c r="C26" s="180" t="n">
        <x:v>796568</x:v>
      </x:c>
      <x:c r="D26" s="183" t="n">
        <x:v>77871</x:v>
      </x:c>
      <x:c r="E26" s="180" t="n">
        <x:v>140295</x:v>
      </x:c>
      <x:c r="F26" s="180" t="n">
        <x:v>349705</x:v>
      </x:c>
      <x:c r="G26" s="180" t="n">
        <x:v>317671</x:v>
      </x:c>
      <x:c r="H26" s="180" t="n">
        <x:v>1418</x:v>
      </x:c>
      <x:c r="I26" s="180" t="n">
        <x:v>37865442</x:v>
      </x:c>
      <x:c r="J26" s="186" t="n">
        <x:f>H26/C26*100000</x:f>
        <x:v>178.0136786815438</x:v>
      </x:c>
      <x:c r="K26" s="189" t="n">
        <x:f>I26/C26</x:f>
        <x:v>47.53573078506794</x:v>
      </x:c>
      <x:c r="L26" s="183" t="n">
        <x:f>I26/H26</x:f>
        <x:v>26703.414668547248</x:v>
      </x:c>
      <x:c r="M26" s="192" t="n">
        <x:f>E26/C26</x:f>
        <x:v>0.1761243233471593</x:v>
      </x:c>
      <x:c r="N26" s="192" t="n">
        <x:f>G26/F26</x:f>
        <x:v>0.908397077536781</x:v>
      </x:c>
      <x:c r="O26" s="195" t="n">
        <x:f>RANK(K26,$K$2:$K$52,0)</x:f>
        <x:v>25</x:v>
      </x:c>
      <x:c r="P26" s="177" t="str">
        <x:v>https://www.ic3.gov/AnnualReport/Reports/2025_IC3Report.pdf</x:v>
      </x:c>
      <x:c r="Q26" s="177" t="str">
        <x:v>https://www.census.gov/programs-surveys/acs/data/summary-file.2024.html</x:v>
      </x:c>
    </x:row>
    <x:row r="27">
      <x:c r="A27" s="177" t="str">
        <x:v>Montana</x:v>
      </x:c>
      <x:c r="B27" s="177" t="str">
        <x:v>30</x:v>
      </x:c>
      <x:c r="C27" s="180" t="n">
        <x:v>1137233</x:v>
      </x:c>
      <x:c r="D27" s="183" t="n">
        <x:v>75340</x:v>
      </x:c>
      <x:c r="E27" s="180" t="n">
        <x:v>241423</x:v>
      </x:c>
      <x:c r="F27" s="180" t="n">
        <x:v>468981</x:v>
      </x:c>
      <x:c r="G27" s="180" t="n">
        <x:v>430037</x:v>
      </x:c>
      <x:c r="H27" s="180" t="n">
        <x:v>2618</x:v>
      </x:c>
      <x:c r="I27" s="180" t="n">
        <x:v>53192859</x:v>
      </x:c>
      <x:c r="J27" s="186" t="n">
        <x:f>H27/C27*100000</x:f>
        <x:v>230.20788176213668</x:v>
      </x:c>
      <x:c r="K27" s="189" t="n">
        <x:f>I27/C27</x:f>
        <x:v>46.77393199106955</x:v>
      </x:c>
      <x:c r="L27" s="183" t="n">
        <x:f>I27/H27</x:f>
        <x:v>20318.12796027502</x:v>
      </x:c>
      <x:c r="M27" s="192" t="n">
        <x:f>E27/C27</x:f>
        <x:v>0.21228982978861852</x:v>
      </x:c>
      <x:c r="N27" s="192" t="n">
        <x:f>G27/F27</x:f>
        <x:v>0.9169603885871709</x:v>
      </x:c>
      <x:c r="O27" s="195" t="n">
        <x:f>RANK(K27,$K$2:$K$52,0)</x:f>
        <x:v>26</x:v>
      </x:c>
      <x:c r="P27" s="177" t="str">
        <x:v>https://www.ic3.gov/AnnualReport/Reports/2025_IC3Report.pdf</x:v>
      </x:c>
      <x:c r="Q27" s="177" t="str">
        <x:v>https://www.census.gov/programs-surveys/acs/data/summary-file.2024.html</x:v>
      </x:c>
    </x:row>
    <x:row r="28">
      <x:c r="A28" s="177" t="str">
        <x:v>Oregon</x:v>
      </x:c>
      <x:c r="B28" s="177" t="str">
        <x:v>41</x:v>
      </x:c>
      <x:c r="C28" s="180" t="n">
        <x:v>4272371</x:v>
      </x:c>
      <x:c r="D28" s="183" t="n">
        <x:v>85220</x:v>
      </x:c>
      <x:c r="E28" s="180" t="n">
        <x:v>850217</x:v>
      </x:c>
      <x:c r="F28" s="180" t="n">
        <x:v>1744270</x:v>
      </x:c>
      <x:c r="G28" s="180" t="n">
        <x:v>1636193</x:v>
      </x:c>
      <x:c r="H28" s="180" t="n">
        <x:v>12477</x:v>
      </x:c>
      <x:c r="I28" s="180" t="n">
        <x:v>193196479</x:v>
      </x:c>
      <x:c r="J28" s="186" t="n">
        <x:f>H28/C28*100000</x:f>
        <x:v>292.0392447191501</x:v>
      </x:c>
      <x:c r="K28" s="189" t="n">
        <x:f>I28/C28</x:f>
        <x:v>45.21996778837793</x:v>
      </x:c>
      <x:c r="L28" s="183" t="n">
        <x:f>I28/H28</x:f>
        <x:v>15484.209265047688</x:v>
      </x:c>
      <x:c r="M28" s="192" t="n">
        <x:f>E28/C28</x:f>
        <x:v>0.19900355095566372</x:v>
      </x:c>
      <x:c r="N28" s="192" t="n">
        <x:f>G28/F28</x:f>
        <x:v>0.9380388357307068</x:v>
      </x:c>
      <x:c r="O28" s="195" t="n">
        <x:f>RANK(K28,$K$2:$K$52,0)</x:f>
        <x:v>27</x:v>
      </x:c>
      <x:c r="P28" s="177" t="str">
        <x:v>https://www.ic3.gov/AnnualReport/Reports/2025_IC3Report.pdf</x:v>
      </x:c>
      <x:c r="Q28" s="177" t="str">
        <x:v>https://www.census.gov/programs-surveys/acs/data/summary-file.2024.html</x:v>
      </x:c>
    </x:row>
    <x:row r="29">
      <x:c r="A29" s="177" t="str">
        <x:v>Idaho</x:v>
      </x:c>
      <x:c r="B29" s="177" t="str">
        <x:v>16</x:v>
      </x:c>
      <x:c r="C29" s="180" t="n">
        <x:v>2001619</x:v>
      </x:c>
      <x:c r="D29" s="183" t="n">
        <x:v>81166</x:v>
      </x:c>
      <x:c r="E29" s="180" t="n">
        <x:v>355551</x:v>
      </x:c>
      <x:c r="F29" s="180" t="n">
        <x:v>751181</x:v>
      </x:c>
      <x:c r="G29" s="180" t="n">
        <x:v>698119</x:v>
      </x:c>
      <x:c r="H29" s="180" t="n">
        <x:v>4479</x:v>
      </x:c>
      <x:c r="I29" s="180" t="n">
        <x:v>88725284</x:v>
      </x:c>
      <x:c r="J29" s="186" t="n">
        <x:f>H29/C29*100000</x:f>
        <x:v>223.76885910855162</x:v>
      </x:c>
      <x:c r="K29" s="189" t="n">
        <x:f>I29/C29</x:f>
        <x:v>44.326759488194305</x:v>
      </x:c>
      <x:c r="L29" s="183" t="n">
        <x:f>I29/H29</x:f>
        <x:v>19809.172583165884</x:v>
      </x:c>
      <x:c r="M29" s="192" t="n">
        <x:f>E29/C29</x:f>
        <x:v>0.17763170713307577</x:v>
      </x:c>
      <x:c r="N29" s="192" t="n">
        <x:f>G29/F29</x:f>
        <x:v>0.9293618981310763</x:v>
      </x:c>
      <x:c r="O29" s="195" t="n">
        <x:f>RANK(K29,$K$2:$K$52,0)</x:f>
        <x:v>28</x:v>
      </x:c>
      <x:c r="P29" s="177" t="str">
        <x:v>https://www.ic3.gov/AnnualReport/Reports/2025_IC3Report.pdf</x:v>
      </x:c>
      <x:c r="Q29" s="177" t="str">
        <x:v>https://www.census.gov/programs-surveys/acs/data/summary-file.2024.html</x:v>
      </x:c>
    </x:row>
    <x:row r="30">
      <x:c r="A30" s="177" t="str">
        <x:v>Wyoming</x:v>
      </x:c>
      <x:c r="B30" s="177" t="str">
        <x:v>56</x:v>
      </x:c>
      <x:c r="C30" s="180" t="n">
        <x:v>587618</x:v>
      </x:c>
      <x:c r="D30" s="183" t="n">
        <x:v>75532</x:v>
      </x:c>
      <x:c r="E30" s="180" t="n">
        <x:v>117373</x:v>
      </x:c>
      <x:c r="F30" s="180" t="n">
        <x:v>256289</x:v>
      </x:c>
      <x:c r="G30" s="180" t="n">
        <x:v>230857</x:v>
      </x:c>
      <x:c r="H30" s="180" t="n">
        <x:v>1552</x:v>
      </x:c>
      <x:c r="I30" s="180" t="n">
        <x:v>25826205</x:v>
      </x:c>
      <x:c r="J30" s="186" t="n">
        <x:f>H30/C30*100000</x:f>
        <x:v>264.11716455248137</x:v>
      </x:c>
      <x:c r="K30" s="189" t="n">
        <x:f>I30/C30</x:f>
        <x:v>43.95067033344792</x:v>
      </x:c>
      <x:c r="L30" s="183" t="n">
        <x:f>I30/H30</x:f>
        <x:v>16640.59600515464</x:v>
      </x:c>
      <x:c r="M30" s="192" t="n">
        <x:f>E30/C30</x:f>
        <x:v>0.19974371105037628</x:v>
      </x:c>
      <x:c r="N30" s="192" t="n">
        <x:f>G30/F30</x:f>
        <x:v>0.9007682733164514</x:v>
      </x:c>
      <x:c r="O30" s="195" t="n">
        <x:f>RANK(K30,$K$2:$K$52,0)</x:f>
        <x:v>29</x:v>
      </x:c>
      <x:c r="P30" s="177" t="str">
        <x:v>https://www.ic3.gov/AnnualReport/Reports/2025_IC3Report.pdf</x:v>
      </x:c>
      <x:c r="Q30" s="177" t="str">
        <x:v>https://www.census.gov/programs-surveys/acs/data/summary-file.2024.html</x:v>
      </x:c>
    </x:row>
    <x:row r="31">
      <x:c r="A31" s="177" t="str">
        <x:v>Minnesota</x:v>
      </x:c>
      <x:c r="B31" s="177" t="str">
        <x:v>27</x:v>
      </x:c>
      <x:c r="C31" s="180" t="n">
        <x:v>5793151</x:v>
      </x:c>
      <x:c r="D31" s="183" t="n">
        <x:v>87117</x:v>
      </x:c>
      <x:c r="E31" s="180" t="n">
        <x:v>1056273</x:v>
      </x:c>
      <x:c r="F31" s="180" t="n">
        <x:v>2363442</x:v>
      </x:c>
      <x:c r="G31" s="180" t="n">
        <x:v>2198189</x:v>
      </x:c>
      <x:c r="H31" s="180" t="n">
        <x:v>13595</x:v>
      </x:c>
      <x:c r="I31" s="180" t="n">
        <x:v>248892986</x:v>
      </x:c>
      <x:c r="J31" s="186" t="n">
        <x:f>H31/C31*100000</x:f>
        <x:v>234.6736689583959</x:v>
      </x:c>
      <x:c r="K31" s="189" t="n">
        <x:f>I31/C31</x:f>
        <x:v>42.96331754514944</x:v>
      </x:c>
      <x:c r="L31" s="183" t="n">
        <x:f>I31/H31</x:f>
        <x:v>18307.68561971313</x:v>
      </x:c>
      <x:c r="M31" s="192" t="n">
        <x:f>E31/C31</x:f>
        <x:v>0.1823313426492767</x:v>
      </x:c>
      <x:c r="N31" s="192" t="n">
        <x:f>G31/F31</x:f>
        <x:v>0.9300795196158823</x:v>
      </x:c>
      <x:c r="O31" s="195" t="n">
        <x:f>RANK(K31,$K$2:$K$52,0)</x:f>
        <x:v>30</x:v>
      </x:c>
      <x:c r="P31" s="177" t="str">
        <x:v>https://www.ic3.gov/AnnualReport/Reports/2025_IC3Report.pdf</x:v>
      </x:c>
      <x:c r="Q31" s="177" t="str">
        <x:v>https://www.census.gov/programs-surveys/acs/data/summary-file.2024.html</x:v>
      </x:c>
    </x:row>
    <x:row r="32">
      <x:c r="A32" s="177" t="str">
        <x:v>Illinois</x:v>
      </x:c>
      <x:c r="B32" s="177" t="str">
        <x:v>17</x:v>
      </x:c>
      <x:c r="C32" s="180" t="n">
        <x:v>12710158</x:v>
      </x:c>
      <x:c r="D32" s="183" t="n">
        <x:v>83211</x:v>
      </x:c>
      <x:c r="E32" s="180" t="n">
        <x:v>2274582</x:v>
      </x:c>
      <x:c r="F32" s="180" t="n">
        <x:v>5105448</x:v>
      </x:c>
      <x:c r="G32" s="180" t="n">
        <x:v>4749020</x:v>
      </x:c>
      <x:c r="H32" s="180" t="n">
        <x:v>32977</x:v>
      </x:c>
      <x:c r="I32" s="180" t="n">
        <x:v>535255201</x:v>
      </x:c>
      <x:c r="J32" s="186" t="n">
        <x:f>H32/C32*100000</x:f>
        <x:v>259.45389506566323</x:v>
      </x:c>
      <x:c r="K32" s="189" t="n">
        <x:f>I32/C32</x:f>
        <x:v>42.11239553434348</x:v>
      </x:c>
      <x:c r="L32" s="183" t="n">
        <x:f>I32/H32</x:f>
        <x:v>16231.167207447616</x:v>
      </x:c>
      <x:c r="M32" s="192" t="n">
        <x:f>E32/C32</x:f>
        <x:v>0.17895780681876652</x:v>
      </x:c>
      <x:c r="N32" s="192" t="n">
        <x:f>G32/F32</x:f>
        <x:v>0.930186733857636</x:v>
      </x:c>
      <x:c r="O32" s="195" t="n">
        <x:f>RANK(K32,$K$2:$K$52,0)</x:f>
        <x:v>31</x:v>
      </x:c>
      <x:c r="P32" s="177" t="str">
        <x:v>https://www.ic3.gov/AnnualReport/Reports/2025_IC3Report.pdf</x:v>
      </x:c>
      <x:c r="Q32" s="177" t="str">
        <x:v>https://www.census.gov/programs-surveys/acs/data/summary-file.2024.html</x:v>
      </x:c>
    </x:row>
    <x:row r="33">
      <x:c r="A33" s="177" t="str">
        <x:v>New Hampshire</x:v>
      </x:c>
      <x:c r="B33" s="177" t="str">
        <x:v>33</x:v>
      </x:c>
      <x:c r="C33" s="180" t="n">
        <x:v>1409032</x:v>
      </x:c>
      <x:c r="D33" s="183" t="n">
        <x:v>99782</x:v>
      </x:c>
      <x:c r="E33" s="180" t="n">
        <x:v>303232</x:v>
      </x:c>
      <x:c r="F33" s="180" t="n">
        <x:v>570689</x:v>
      </x:c>
      <x:c r="G33" s="180" t="n">
        <x:v>544284</x:v>
      </x:c>
      <x:c r="H33" s="180" t="n">
        <x:v>4374</x:v>
      </x:c>
      <x:c r="I33" s="180" t="n">
        <x:v>59283023</x:v>
      </x:c>
      <x:c r="J33" s="186" t="n">
        <x:f>H33/C33*100000</x:f>
        <x:v>310.42588103038116</x:v>
      </x:c>
      <x:c r="K33" s="189" t="n">
        <x:f>I33/C33</x:f>
        <x:v>42.073581721351964</x:v>
      </x:c>
      <x:c r="L33" s="183" t="n">
        <x:f>I33/H33</x:f>
        <x:v>13553.503200731595</x:v>
      </x:c>
      <x:c r="M33" s="192" t="n">
        <x:f>E33/C33</x:f>
        <x:v>0.21520590022086084</x:v>
      </x:c>
      <x:c r="N33" s="192" t="n">
        <x:f>G33/F33</x:f>
        <x:v>0.9537313668215087</x:v>
      </x:c>
      <x:c r="O33" s="195" t="n">
        <x:f>RANK(K33,$K$2:$K$52,0)</x:f>
        <x:v>32</x:v>
      </x:c>
      <x:c r="P33" s="177" t="str">
        <x:v>https://www.ic3.gov/AnnualReport/Reports/2025_IC3Report.pdf</x:v>
      </x:c>
      <x:c r="Q33" s="177" t="str">
        <x:v>https://www.census.gov/programs-surveys/acs/data/summary-file.2024.html</x:v>
      </x:c>
    </x:row>
    <x:row r="34">
      <x:c r="A34" s="177" t="str">
        <x:v>Pennsylvania</x:v>
      </x:c>
      <x:c r="B34" s="177" t="str">
        <x:v>42</x:v>
      </x:c>
      <x:c r="C34" s="180" t="n">
        <x:v>13078751</x:v>
      </x:c>
      <x:c r="D34" s="183" t="n">
        <x:v>77545</x:v>
      </x:c>
      <x:c r="E34" s="180" t="n">
        <x:v>2665974</x:v>
      </x:c>
      <x:c r="F34" s="180" t="n">
        <x:v>5361724</x:v>
      </x:c>
      <x:c r="G34" s="180" t="n">
        <x:v>4947778</x:v>
      </x:c>
      <x:c r="H34" s="180" t="n">
        <x:v>31154</x:v>
      </x:c>
      <x:c r="I34" s="180" t="n">
        <x:v>537787231</x:v>
      </x:c>
      <x:c r="J34" s="186" t="n">
        <x:f>H34/C34*100000</x:f>
        <x:v>238.20317398809718</x:v>
      </x:c>
      <x:c r="K34" s="189" t="n">
        <x:f>I34/C34</x:f>
        <x:v>41.119158167320414</x:v>
      </x:c>
      <x:c r="L34" s="183" t="n">
        <x:f>I34/H34</x:f>
        <x:v>17262.220934711433</x:v>
      </x:c>
      <x:c r="M34" s="192" t="n">
        <x:f>E34/C34</x:f>
        <x:v>0.20384010675025466</x:v>
      </x:c>
      <x:c r="N34" s="192" t="n">
        <x:f>G34/F34</x:f>
        <x:v>0.9227961006571767</x:v>
      </x:c>
      <x:c r="O34" s="195" t="n">
        <x:f>RANK(K34,$K$2:$K$52,0)</x:f>
        <x:v>33</x:v>
      </x:c>
      <x:c r="P34" s="177" t="str">
        <x:v>https://www.ic3.gov/AnnualReport/Reports/2025_IC3Report.pdf</x:v>
      </x:c>
      <x:c r="Q34" s="177" t="str">
        <x:v>https://www.census.gov/programs-surveys/acs/data/summary-file.2024.html</x:v>
      </x:c>
    </x:row>
    <x:row r="35">
      <x:c r="A35" s="177" t="str">
        <x:v>Vermont</x:v>
      </x:c>
      <x:c r="B35" s="177" t="str">
        <x:v>50</x:v>
      </x:c>
      <x:c r="C35" s="180" t="n">
        <x:v>648493</x:v>
      </x:c>
      <x:c r="D35" s="183" t="n">
        <x:v>82730</x:v>
      </x:c>
      <x:c r="E35" s="180" t="n">
        <x:v>148485</x:v>
      </x:c>
      <x:c r="F35" s="180" t="n">
        <x:v>285548</x:v>
      </x:c>
      <x:c r="G35" s="180" t="n">
        <x:v>265480</x:v>
      </x:c>
      <x:c r="H35" s="180" t="n">
        <x:v>1580</x:v>
      </x:c>
      <x:c r="I35" s="180" t="n">
        <x:v>26567033</x:v>
      </x:c>
      <x:c r="J35" s="186" t="n">
        <x:f>H35/C35*100000</x:f>
        <x:v>243.64179721292288</x:v>
      </x:c>
      <x:c r="K35" s="189" t="n">
        <x:f>I35/C35</x:f>
        <x:v>40.96733966287994</x:v>
      </x:c>
      <x:c r="L35" s="183" t="n">
        <x:f>I35/H35</x:f>
        <x:v>16814.577848101268</x:v>
      </x:c>
      <x:c r="M35" s="192" t="n">
        <x:f>E35/C35</x:f>
        <x:v>0.22896931809595478</x:v>
      </x:c>
      <x:c r="N35" s="192" t="n">
        <x:f>G35/F35</x:f>
        <x:v>0.9297210976788491</x:v>
      </x:c>
      <x:c r="O35" s="195" t="n">
        <x:f>RANK(K35,$K$2:$K$52,0)</x:f>
        <x:v>34</x:v>
      </x:c>
      <x:c r="P35" s="177" t="str">
        <x:v>https://www.ic3.gov/AnnualReport/Reports/2025_IC3Report.pdf</x:v>
      </x:c>
      <x:c r="Q35" s="177" t="str">
        <x:v>https://www.census.gov/programs-surveys/acs/data/summary-file.2024.html</x:v>
      </x:c>
    </x:row>
    <x:row r="36">
      <x:c r="A36" s="177" t="str">
        <x:v>Maine</x:v>
      </x:c>
      <x:c r="B36" s="177" t="str">
        <x:v>23</x:v>
      </x:c>
      <x:c r="C36" s="180" t="n">
        <x:v>1405012</x:v>
      </x:c>
      <x:c r="D36" s="183" t="n">
        <x:v>76442</x:v>
      </x:c>
      <x:c r="E36" s="180" t="n">
        <x:v>329926</x:v>
      </x:c>
      <x:c r="F36" s="180" t="n">
        <x:v>615235</x:v>
      </x:c>
      <x:c r="G36" s="180" t="n">
        <x:v>570235</x:v>
      </x:c>
      <x:c r="H36" s="180" t="n">
        <x:v>2888</x:v>
      </x:c>
      <x:c r="I36" s="180" t="n">
        <x:v>56536020</x:v>
      </x:c>
      <x:c r="J36" s="186" t="n">
        <x:f>H36/C36*100000</x:f>
        <x:v>205.54984583761563</x:v>
      </x:c>
      <x:c r="K36" s="189" t="n">
        <x:f>I36/C36</x:f>
        <x:v>40.238816465624495</x:v>
      </x:c>
      <x:c r="L36" s="183" t="n">
        <x:f>I36/H36</x:f>
        <x:v>19576.184210526317</x:v>
      </x:c>
      <x:c r="M36" s="192" t="n">
        <x:f>E36/C36</x:f>
        <x:v>0.23482077021406222</x:v>
      </x:c>
      <x:c r="N36" s="192" t="n">
        <x:f>G36/F36</x:f>
        <x:v>0.9268572171609223</x:v>
      </x:c>
      <x:c r="O36" s="195" t="n">
        <x:f>RANK(K36,$K$2:$K$52,0)</x:f>
        <x:v>35</x:v>
      </x:c>
      <x:c r="P36" s="177" t="str">
        <x:v>https://www.ic3.gov/AnnualReport/Reports/2025_IC3Report.pdf</x:v>
      </x:c>
      <x:c r="Q36" s="177" t="str">
        <x:v>https://www.census.gov/programs-surveys/acs/data/summary-file.2024.html</x:v>
      </x:c>
    </x:row>
    <x:row r="37">
      <x:c r="A37" s="177" t="str">
        <x:v>New Mexico</x:v>
      </x:c>
      <x:c r="B37" s="177" t="str">
        <x:v>35</x:v>
      </x:c>
      <x:c r="C37" s="180" t="n">
        <x:v>2130256</x:v>
      </x:c>
      <x:c r="D37" s="183" t="n">
        <x:v>67816</x:v>
      </x:c>
      <x:c r="E37" s="180" t="n">
        <x:v>429233</x:v>
      </x:c>
      <x:c r="F37" s="180" t="n">
        <x:v>856970</x:v>
      </x:c>
      <x:c r="G37" s="180" t="n">
        <x:v>776811</x:v>
      </x:c>
      <x:c r="H37" s="180" t="n">
        <x:v>5688</x:v>
      </x:c>
      <x:c r="I37" s="180" t="n">
        <x:v>85571285</x:v>
      </x:c>
      <x:c r="J37" s="186" t="n">
        <x:f>H37/C37*100000</x:f>
        <x:v>267.0101621589142</x:v>
      </x:c>
      <x:c r="K37" s="189" t="n">
        <x:f>I37/C37</x:f>
        <x:v>40.16948432488865</x:v>
      </x:c>
      <x:c r="L37" s="183" t="n">
        <x:f>I37/H37</x:f>
        <x:v>15044.178094233474</x:v>
      </x:c>
      <x:c r="M37" s="192" t="n">
        <x:f>E37/C37</x:f>
        <x:v>0.20149362330161258</x:v>
      </x:c>
      <x:c r="N37" s="192" t="n">
        <x:f>G37/F37</x:f>
        <x:v>0.9064623032311516</x:v>
      </x:c>
      <x:c r="O37" s="195" t="n">
        <x:f>RANK(K37,$K$2:$K$52,0)</x:f>
        <x:v>36</x:v>
      </x:c>
      <x:c r="P37" s="177" t="str">
        <x:v>https://www.ic3.gov/AnnualReport/Reports/2025_IC3Report.pdf</x:v>
      </x:c>
      <x:c r="Q37" s="177" t="str">
        <x:v>https://www.census.gov/programs-surveys/acs/data/summary-file.2024.html</x:v>
      </x:c>
    </x:row>
    <x:row r="38">
      <x:c r="A38" s="177" t="str">
        <x:v>North Carolina</x:v>
      </x:c>
      <x:c r="B38" s="177" t="str">
        <x:v>37</x:v>
      </x:c>
      <x:c r="C38" s="180" t="n">
        <x:v>11046024</x:v>
      </x:c>
      <x:c r="D38" s="183" t="n">
        <x:v>73958</x:v>
      </x:c>
      <x:c r="E38" s="180" t="n">
        <x:v>1980690</x:v>
      </x:c>
      <x:c r="F38" s="180" t="n">
        <x:v>4496359</x:v>
      </x:c>
      <x:c r="G38" s="180" t="n">
        <x:v>4192818</x:v>
      </x:c>
      <x:c r="H38" s="180" t="n">
        <x:v>25940</x:v>
      </x:c>
      <x:c r="I38" s="180" t="n">
        <x:v>431561716</x:v>
      </x:c>
      <x:c r="J38" s="186" t="n">
        <x:f>H38/C38*100000</x:f>
        <x:v>234.835629544169</x:v>
      </x:c>
      <x:c r="K38" s="189" t="n">
        <x:f>I38/C38</x:f>
        <x:v>39.06941683269926</x:v>
      </x:c>
      <x:c r="L38" s="183" t="n">
        <x:f>I38/H38</x:f>
        <x:v>16636.92043176561</x:v>
      </x:c>
      <x:c r="M38" s="192" t="n">
        <x:f>E38/C38</x:f>
        <x:v>0.1793124838403393</x:v>
      </x:c>
      <x:c r="N38" s="192" t="n">
        <x:f>G38/F38</x:f>
        <x:v>0.9324918228282039</x:v>
      </x:c>
      <x:c r="O38" s="195" t="n">
        <x:f>RANK(K38,$K$2:$K$52,0)</x:f>
        <x:v>37</x:v>
      </x:c>
      <x:c r="P38" s="177" t="str">
        <x:v>https://www.ic3.gov/AnnualReport/Reports/2025_IC3Report.pdf</x:v>
      </x:c>
      <x:c r="Q38" s="177" t="str">
        <x:v>https://www.census.gov/programs-surveys/acs/data/summary-file.2024.html</x:v>
      </x:c>
    </x:row>
    <x:row r="39">
      <x:c r="A39" s="177" t="str">
        <x:v>Michigan</x:v>
      </x:c>
      <x:c r="B39" s="177" t="str">
        <x:v>26</x:v>
      </x:c>
      <x:c r="C39" s="180" t="n">
        <x:v>10140459</x:v>
      </x:c>
      <x:c r="D39" s="183" t="n">
        <x:v>72389</x:v>
      </x:c>
      <x:c r="E39" s="180" t="n">
        <x:v>1987859</x:v>
      </x:c>
      <x:c r="F39" s="180" t="n">
        <x:v>4131281</x:v>
      </x:c>
      <x:c r="G39" s="180" t="n">
        <x:v>3837993</x:v>
      </x:c>
      <x:c r="H39" s="180" t="n">
        <x:v>22191</x:v>
      </x:c>
      <x:c r="I39" s="180" t="n">
        <x:v>381068131</x:v>
      </x:c>
      <x:c r="J39" s="186" t="n">
        <x:f>H39/C39*100000</x:f>
        <x:v>218.83624794498948</x:v>
      </x:c>
      <x:c r="K39" s="189" t="n">
        <x:f>I39/C39</x:f>
        <x:v>37.5789824701229</x:v>
      </x:c>
      <x:c r="L39" s="183" t="n">
        <x:f>I39/H39</x:f>
        <x:v>17172.192825920418</x:v>
      </x:c>
      <x:c r="M39" s="192" t="n">
        <x:f>E39/C39</x:f>
        <x:v>0.1960324478408719</x:v>
      </x:c>
      <x:c r="N39" s="192" t="n">
        <x:f>G39/F39</x:f>
        <x:v>0.9290079759764587</x:v>
      </x:c>
      <x:c r="O39" s="195" t="n">
        <x:f>RANK(K39,$K$2:$K$52,0)</x:f>
        <x:v>38</x:v>
      </x:c>
      <x:c r="P39" s="177" t="str">
        <x:v>https://www.ic3.gov/AnnualReport/Reports/2025_IC3Report.pdf</x:v>
      </x:c>
      <x:c r="Q39" s="177" t="str">
        <x:v>https://www.census.gov/programs-surveys/acs/data/summary-file.2024.html</x:v>
      </x:c>
    </x:row>
    <x:row r="40">
      <x:c r="A40" s="177" t="str">
        <x:v>Missouri</x:v>
      </x:c>
      <x:c r="B40" s="177" t="str">
        <x:v>29</x:v>
      </x:c>
      <x:c r="C40" s="180" t="n">
        <x:v>6245466</x:v>
      </x:c>
      <x:c r="D40" s="183" t="n">
        <x:v>71589</x:v>
      </x:c>
      <x:c r="E40" s="180" t="n">
        <x:v>1169201</x:v>
      </x:c>
      <x:c r="F40" s="180" t="n">
        <x:v>2563244</x:v>
      </x:c>
      <x:c r="G40" s="180" t="n">
        <x:v>2343213</x:v>
      </x:c>
      <x:c r="H40" s="180" t="n">
        <x:v>14087</x:v>
      </x:c>
      <x:c r="I40" s="180" t="n">
        <x:v>233933401</x:v>
      </x:c>
      <x:c r="J40" s="186" t="n">
        <x:f>H40/C40*100000</x:f>
        <x:v>225.55562707410465</x:v>
      </x:c>
      <x:c r="K40" s="189" t="n">
        <x:f>I40/C40</x:f>
        <x:v>37.456516615413484</x:v>
      </x:c>
      <x:c r="L40" s="183" t="n">
        <x:f>I40/H40</x:f>
        <x:v>16606.33215020941</x:v>
      </x:c>
      <x:c r="M40" s="192" t="n">
        <x:f>E40/C40</x:f>
        <x:v>0.1872079681484136</x:v>
      </x:c>
      <x:c r="N40" s="192" t="n">
        <x:f>G40/F40</x:f>
        <x:v>0.9141591670554968</x:v>
      </x:c>
      <x:c r="O40" s="195" t="n">
        <x:f>RANK(K40,$K$2:$K$52,0)</x:f>
        <x:v>39</x:v>
      </x:c>
      <x:c r="P40" s="177" t="str">
        <x:v>https://www.ic3.gov/AnnualReport/Reports/2025_IC3Report.pdf</x:v>
      </x:c>
      <x:c r="Q40" s="177" t="str">
        <x:v>https://www.census.gov/programs-surveys/acs/data/summary-file.2024.html</x:v>
      </x:c>
    </x:row>
    <x:row r="41">
      <x:c r="A41" s="177" t="str">
        <x:v>Tennessee</x:v>
      </x:c>
      <x:c r="B41" s="177" t="str">
        <x:v>47</x:v>
      </x:c>
      <x:c r="C41" s="180" t="n">
        <x:v>7227750</x:v>
      </x:c>
      <x:c r="D41" s="183" t="n">
        <x:v>71997</x:v>
      </x:c>
      <x:c r="E41" s="180" t="n">
        <x:v>1273979</x:v>
      </x:c>
      <x:c r="F41" s="180" t="n">
        <x:v>2928765</x:v>
      </x:c>
      <x:c r="G41" s="180" t="n">
        <x:v>2711018</x:v>
      </x:c>
      <x:c r="H41" s="180" t="n">
        <x:v>16261</x:v>
      </x:c>
      <x:c r="I41" s="180" t="n">
        <x:v>269214519</x:v>
      </x:c>
      <x:c r="J41" s="186" t="n">
        <x:f>H41/C41*100000</x:f>
        <x:v>224.98011137629274</x:v>
      </x:c>
      <x:c r="K41" s="189" t="n">
        <x:f>I41/C41</x:f>
        <x:v>37.24734792985369</x:v>
      </x:c>
      <x:c r="L41" s="183" t="n">
        <x:f>I41/H41</x:f>
        <x:v>16555.840292724926</x:v>
      </x:c>
      <x:c r="M41" s="192" t="n">
        <x:f>E41/C41</x:f>
        <x:v>0.17626218394382762</x:v>
      </x:c>
      <x:c r="N41" s="192" t="n">
        <x:f>G41/F41</x:f>
        <x:v>0.9256522800566109</x:v>
      </x:c>
      <x:c r="O41" s="195" t="n">
        <x:f>RANK(K41,$K$2:$K$52,0)</x:f>
        <x:v>40</x:v>
      </x:c>
      <x:c r="P41" s="177" t="str">
        <x:v>https://www.ic3.gov/AnnualReport/Reports/2025_IC3Report.pdf</x:v>
      </x:c>
      <x:c r="Q41" s="177" t="str">
        <x:v>https://www.census.gov/programs-surveys/acs/data/summary-file.2024.html</x:v>
      </x:c>
    </x:row>
    <x:row r="42">
      <x:c r="A42" s="177" t="str">
        <x:v>Nebraska</x:v>
      </x:c>
      <x:c r="B42" s="177" t="str">
        <x:v>31</x:v>
      </x:c>
      <x:c r="C42" s="180" t="n">
        <x:v>2005466</x:v>
      </x:c>
      <x:c r="D42" s="183" t="n">
        <x:v>76376</x:v>
      </x:c>
      <x:c r="E42" s="180" t="n">
        <x:v>348052</x:v>
      </x:c>
      <x:c r="F42" s="180" t="n">
        <x:v>824012</x:v>
      </x:c>
      <x:c r="G42" s="180" t="n">
        <x:v>758518</x:v>
      </x:c>
      <x:c r="H42" s="180" t="n">
        <x:v>3724</x:v>
      </x:c>
      <x:c r="I42" s="180" t="n">
        <x:v>71844724</x:v>
      </x:c>
      <x:c r="J42" s="186" t="n">
        <x:f>H42/C42*100000</x:f>
        <x:v>185.6925023909655</x:v>
      </x:c>
      <x:c r="K42" s="189" t="n">
        <x:f>I42/C42</x:f>
        <x:v>35.82445376785246</x:v>
      </x:c>
      <x:c r="L42" s="183" t="n">
        <x:f>I42/H42</x:f>
        <x:v>19292.353383458645</x:v>
      </x:c>
      <x:c r="M42" s="192" t="n">
        <x:f>E42/C42</x:f>
        <x:v>0.17355168324967862</x:v>
      </x:c>
      <x:c r="N42" s="192" t="n">
        <x:f>G42/F42</x:f>
        <x:v>0.9205181477939641</x:v>
      </x:c>
      <x:c r="O42" s="195" t="n">
        <x:f>RANK(K42,$K$2:$K$52,0)</x:f>
        <x:v>41</x:v>
      </x:c>
      <x:c r="P42" s="177" t="str">
        <x:v>https://www.ic3.gov/AnnualReport/Reports/2025_IC3Report.pdf</x:v>
      </x:c>
      <x:c r="Q42" s="177" t="str">
        <x:v>https://www.census.gov/programs-surveys/acs/data/summary-file.2024.html</x:v>
      </x:c>
    </x:row>
    <x:row r="43">
      <x:c r="A43" s="177" t="str">
        <x:v>Ohio</x:v>
      </x:c>
      <x:c r="B43" s="177" t="str">
        <x:v>39</x:v>
      </x:c>
      <x:c r="C43" s="180" t="n">
        <x:v>11883304</x:v>
      </x:c>
      <x:c r="D43" s="183" t="n">
        <x:v>72212</x:v>
      </x:c>
      <x:c r="E43" s="180" t="n">
        <x:v>2271397</x:v>
      </x:c>
      <x:c r="F43" s="180" t="n">
        <x:v>4929322</x:v>
      </x:c>
      <x:c r="G43" s="180" t="n">
        <x:v>4551307</x:v>
      </x:c>
      <x:c r="H43" s="180" t="n">
        <x:v>27626</x:v>
      </x:c>
      <x:c r="I43" s="180" t="n">
        <x:v>421289526</x:v>
      </x:c>
      <x:c r="J43" s="186" t="n">
        <x:f>H43/C43*100000</x:f>
        <x:v>232.4774322023572</x:v>
      </x:c>
      <x:c r="K43" s="189" t="n">
        <x:f>I43/C43</x:f>
        <x:v>35.45222153704054</x:v>
      </x:c>
      <x:c r="L43" s="183" t="n">
        <x:f>I43/H43</x:f>
        <x:v>15249.747556649532</x:v>
      </x:c>
      <x:c r="M43" s="192" t="n">
        <x:f>E43/C43</x:f>
        <x:v>0.1911418743474037</x:v>
      </x:c>
      <x:c r="N43" s="192" t="n">
        <x:f>G43/F43</x:f>
        <x:v>0.9233129830025306</x:v>
      </x:c>
      <x:c r="O43" s="195" t="n">
        <x:f>RANK(K43,$K$2:$K$52,0)</x:f>
        <x:v>42</x:v>
      </x:c>
      <x:c r="P43" s="177" t="str">
        <x:v>https://www.ic3.gov/AnnualReport/Reports/2025_IC3Report.pdf</x:v>
      </x:c>
      <x:c r="Q43" s="177" t="str">
        <x:v>https://www.census.gov/programs-surveys/acs/data/summary-file.2024.html</x:v>
      </x:c>
    </x:row>
    <x:row r="44">
      <x:c r="A44" s="177" t="str">
        <x:v>Indiana</x:v>
      </x:c>
      <x:c r="B44" s="177" t="str">
        <x:v>18</x:v>
      </x:c>
      <x:c r="C44" s="180" t="n">
        <x:v>6924275</x:v>
      </x:c>
      <x:c r="D44" s="183" t="n">
        <x:v>71959</x:v>
      </x:c>
      <x:c r="E44" s="180" t="n">
        <x:v>1218401</x:v>
      </x:c>
      <x:c r="F44" s="180" t="n">
        <x:v>2775637</x:v>
      </x:c>
      <x:c r="G44" s="180" t="n">
        <x:v>2555946</x:v>
      </x:c>
      <x:c r="H44" s="180" t="n">
        <x:v>20777</x:v>
      </x:c>
      <x:c r="I44" s="180" t="n">
        <x:v>233016771</x:v>
      </x:c>
      <x:c r="J44" s="186" t="n">
        <x:f>H44/C44*100000</x:f>
        <x:v>300.06029512114986</x:v>
      </x:c>
      <x:c r="K44" s="189" t="n">
        <x:f>I44/C44</x:f>
        <x:v>33.6521543410682</x:v>
      </x:c>
      <x:c r="L44" s="183" t="n">
        <x:f>I44/H44</x:f>
        <x:v>11215.130721470858</x:v>
      </x:c>
      <x:c r="M44" s="192" t="n">
        <x:f>E44/C44</x:f>
        <x:v>0.1759608045607663</x:v>
      </x:c>
      <x:c r="N44" s="192" t="n">
        <x:f>G44/F44</x:f>
        <x:v>0.9208502408636288</x:v>
      </x:c>
      <x:c r="O44" s="195" t="n">
        <x:f>RANK(K44,$K$2:$K$52,0)</x:f>
        <x:v>43</x:v>
      </x:c>
      <x:c r="P44" s="177" t="str">
        <x:v>https://www.ic3.gov/AnnualReport/Reports/2025_IC3Report.pdf</x:v>
      </x:c>
      <x:c r="Q44" s="177" t="str">
        <x:v>https://www.census.gov/programs-surveys/acs/data/summary-file.2024.html</x:v>
      </x:c>
    </x:row>
    <x:row r="45">
      <x:c r="A45" s="177" t="str">
        <x:v>Arkansas</x:v>
      </x:c>
      <x:c r="B45" s="177" t="str">
        <x:v>05</x:v>
      </x:c>
      <x:c r="C45" s="180" t="n">
        <x:v>3088354</x:v>
      </x:c>
      <x:c r="D45" s="183" t="n">
        <x:v>62106</x:v>
      </x:c>
      <x:c r="E45" s="180" t="n">
        <x:v>562707</x:v>
      </x:c>
      <x:c r="F45" s="180" t="n">
        <x:v>1246754</x:v>
      </x:c>
      <x:c r="G45" s="180" t="n">
        <x:v>1133220</x:v>
      </x:c>
      <x:c r="H45" s="180" t="n">
        <x:v>6161</x:v>
      </x:c>
      <x:c r="I45" s="180" t="n">
        <x:v>102541947</x:v>
      </x:c>
      <x:c r="J45" s="186" t="n">
        <x:f>H45/C45*100000</x:f>
        <x:v>199.4913795504013</x:v>
      </x:c>
      <x:c r="K45" s="189" t="n">
        <x:f>I45/C45</x:f>
        <x:v>33.202782776844884</x:v>
      </x:c>
      <x:c r="L45" s="183" t="n">
        <x:f>I45/H45</x:f>
        <x:v>16643.718065249148</x:v>
      </x:c>
      <x:c r="M45" s="192" t="n">
        <x:f>E45/C45</x:f>
        <x:v>0.18220288218254774</x:v>
      </x:c>
      <x:c r="N45" s="192" t="n">
        <x:f>G45/F45</x:f>
        <x:v>0.9089363258509698</x:v>
      </x:c>
      <x:c r="O45" s="195" t="n">
        <x:f>RANK(K45,$K$2:$K$52,0)</x:f>
        <x:v>44</x:v>
      </x:c>
      <x:c r="P45" s="177" t="str">
        <x:v>https://www.ic3.gov/AnnualReport/Reports/2025_IC3Report.pdf</x:v>
      </x:c>
      <x:c r="Q45" s="177" t="str">
        <x:v>https://www.census.gov/programs-surveys/acs/data/summary-file.2024.html</x:v>
      </x:c>
    </x:row>
    <x:row r="46">
      <x:c r="A46" s="177" t="str">
        <x:v>Wisconsin</x:v>
      </x:c>
      <x:c r="B46" s="177" t="str">
        <x:v>55</x:v>
      </x:c>
      <x:c r="C46" s="180" t="n">
        <x:v>5960975</x:v>
      </x:c>
      <x:c r="D46" s="183" t="n">
        <x:v>77488</x:v>
      </x:c>
      <x:c r="E46" s="180" t="n">
        <x:v>1171042</x:v>
      </x:c>
      <x:c r="F46" s="180" t="n">
        <x:v>2535198</x:v>
      </x:c>
      <x:c r="G46" s="180" t="n">
        <x:v>2344748</x:v>
      </x:c>
      <x:c r="H46" s="180" t="n">
        <x:v>16680</x:v>
      </x:c>
      <x:c r="I46" s="180" t="n">
        <x:v>194227722</x:v>
      </x:c>
      <x:c r="J46" s="186" t="n">
        <x:f>H46/C46*100000</x:f>
        <x:v>279.8199958899341</x:v>
      </x:c>
      <x:c r="K46" s="189" t="n">
        <x:f>I46/C46</x:f>
        <x:v>32.583213652129054</x:v>
      </x:c>
      <x:c r="L46" s="183" t="n">
        <x:f>I46/H46</x:f>
        <x:v>11644.347841726618</x:v>
      </x:c>
      <x:c r="M46" s="192" t="n">
        <x:f>E46/C46</x:f>
        <x:v>0.19645141944061165</x:v>
      </x:c>
      <x:c r="N46" s="192" t="n">
        <x:f>G46/F46</x:f>
        <x:v>0.9248776624153222</x:v>
      </x:c>
      <x:c r="O46" s="195" t="n">
        <x:f>RANK(K46,$K$2:$K$52,0)</x:f>
        <x:v>45</x:v>
      </x:c>
      <x:c r="P46" s="177" t="str">
        <x:v>https://www.ic3.gov/AnnualReport/Reports/2025_IC3Report.pdf</x:v>
      </x:c>
      <x:c r="Q46" s="177" t="str">
        <x:v>https://www.census.gov/programs-surveys/acs/data/summary-file.2024.html</x:v>
      </x:c>
    </x:row>
    <x:row r="47">
      <x:c r="A47" s="177" t="str">
        <x:v>Alabama</x:v>
      </x:c>
      <x:c r="B47" s="177" t="str">
        <x:v>01</x:v>
      </x:c>
      <x:c r="C47" s="180" t="n">
        <x:v>5157699</x:v>
      </x:c>
      <x:c r="D47" s="183" t="n">
        <x:v>66659</x:v>
      </x:c>
      <x:c r="E47" s="180" t="n">
        <x:v>955166</x:v>
      </x:c>
      <x:c r="F47" s="180" t="n">
        <x:v>2059528</x:v>
      </x:c>
      <x:c r="G47" s="180" t="n">
        <x:v>1889431</x:v>
      </x:c>
      <x:c r="H47" s="180" t="n">
        <x:v>9936</x:v>
      </x:c>
      <x:c r="I47" s="180" t="n">
        <x:v>167212658</x:v>
      </x:c>
      <x:c r="J47" s="186" t="n">
        <x:f>H47/C47*100000</x:f>
        <x:v>192.6440453388226</x:v>
      </x:c>
      <x:c r="K47" s="189" t="n">
        <x:f>I47/C47</x:f>
        <x:v>32.42001093898655</x:v>
      </x:c>
      <x:c r="L47" s="183" t="n">
        <x:f>I47/H47</x:f>
        <x:v>16828.971215781</x:v>
      </x:c>
      <x:c r="M47" s="192" t="n">
        <x:f>E47/C47</x:f>
        <x:v>0.18519227275573855</x:v>
      </x:c>
      <x:c r="N47" s="192" t="n">
        <x:f>G47/F47</x:f>
        <x:v>0.9174097171779165</x:v>
      </x:c>
      <x:c r="O47" s="195" t="n">
        <x:f>RANK(K47,$K$2:$K$52,0)</x:f>
        <x:v>46</x:v>
      </x:c>
      <x:c r="P47" s="177" t="str">
        <x:v>https://www.ic3.gov/AnnualReport/Reports/2025_IC3Report.pdf</x:v>
      </x:c>
      <x:c r="Q47" s="177" t="str">
        <x:v>https://www.census.gov/programs-surveys/acs/data/summary-file.2024.html</x:v>
      </x:c>
    </x:row>
    <x:row r="48">
      <x:c r="A48" s="177" t="str">
        <x:v>Oklahoma</x:v>
      </x:c>
      <x:c r="B48" s="177" t="str">
        <x:v>40</x:v>
      </x:c>
      <x:c r="C48" s="180" t="n">
        <x:v>4095393</x:v>
      </x:c>
      <x:c r="D48" s="183" t="n">
        <x:v>66148</x:v>
      </x:c>
      <x:c r="E48" s="180" t="n">
        <x:v>692081</x:v>
      </x:c>
      <x:c r="F48" s="180" t="n">
        <x:v>1603748</x:v>
      </x:c>
      <x:c r="G48" s="180" t="n">
        <x:v>1479145</x:v>
      </x:c>
      <x:c r="H48" s="180" t="n">
        <x:v>11964</x:v>
      </x:c>
      <x:c r="I48" s="180" t="n">
        <x:v>131921776</x:v>
      </x:c>
      <x:c r="J48" s="186" t="n">
        <x:f>H48/C48*100000</x:f>
        <x:v>292.13313594079983</x:v>
      </x:c>
      <x:c r="K48" s="189" t="n">
        <x:f>I48/C48</x:f>
        <x:v>32.212238483583874</x:v>
      </x:c>
      <x:c r="L48" s="183" t="n">
        <x:f>I48/H48</x:f>
        <x:v>11026.56101638248</x:v>
      </x:c>
      <x:c r="M48" s="192" t="n">
        <x:f>E48/C48</x:f>
        <x:v>0.16899013110585479</x:v>
      </x:c>
      <x:c r="N48" s="192" t="n">
        <x:f>G48/F48</x:f>
        <x:v>0.9223051252441157</x:v>
      </x:c>
      <x:c r="O48" s="195" t="n">
        <x:f>RANK(K48,$K$2:$K$52,0)</x:f>
        <x:v>47</x:v>
      </x:c>
      <x:c r="P48" s="177" t="str">
        <x:v>https://www.ic3.gov/AnnualReport/Reports/2025_IC3Report.pdf</x:v>
      </x:c>
      <x:c r="Q48" s="177" t="str">
        <x:v>https://www.census.gov/programs-surveys/acs/data/summary-file.2024.html</x:v>
      </x:c>
    </x:row>
    <x:row r="49">
      <x:c r="A49" s="177" t="str">
        <x:v>Iowa</x:v>
      </x:c>
      <x:c r="B49" s="177" t="str">
        <x:v>19</x:v>
      </x:c>
      <x:c r="C49" s="180" t="n">
        <x:v>3241488</x:v>
      </x:c>
      <x:c r="D49" s="183" t="n">
        <x:v>75501</x:v>
      </x:c>
      <x:c r="E49" s="180" t="n">
        <x:v>612603</x:v>
      </x:c>
      <x:c r="F49" s="180" t="n">
        <x:v>1343422</x:v>
      </x:c>
      <x:c r="G49" s="180" t="n">
        <x:v>1221272</x:v>
      </x:c>
      <x:c r="H49" s="180" t="n">
        <x:v>5436</x:v>
      </x:c>
      <x:c r="I49" s="180" t="n">
        <x:v>95520131</x:v>
      </x:c>
      <x:c r="J49" s="186" t="n">
        <x:f>H49/C49*100000</x:f>
        <x:v>167.70075965112318</x:v>
      </x:c>
      <x:c r="K49" s="189" t="n">
        <x:f>I49/C49</x:f>
        <x:v>29.46798846702502</x:v>
      </x:c>
      <x:c r="L49" s="183" t="n">
        <x:f>I49/H49</x:f>
        <x:v>17571.768027961738</x:v>
      </x:c>
      <x:c r="M49" s="192" t="n">
        <x:f>E49/C49</x:f>
        <x:v>0.18898820541677155</x:v>
      </x:c>
      <x:c r="N49" s="192" t="n">
        <x:f>G49/F49</x:f>
        <x:v>0.909075480377722</x:v>
      </x:c>
      <x:c r="O49" s="195" t="n">
        <x:f>RANK(K49,$K$2:$K$52,0)</x:f>
        <x:v>48</x:v>
      </x:c>
      <x:c r="P49" s="177" t="str">
        <x:v>https://www.ic3.gov/AnnualReport/Reports/2025_IC3Report.pdf</x:v>
      </x:c>
      <x:c r="Q49" s="177" t="str">
        <x:v>https://www.census.gov/programs-surveys/acs/data/summary-file.2024.html</x:v>
      </x:c>
    </x:row>
    <x:row r="50">
      <x:c r="A50" s="177" t="str">
        <x:v>Mississippi</x:v>
      </x:c>
      <x:c r="B50" s="177" t="str">
        <x:v>28</x:v>
      </x:c>
      <x:c r="C50" s="180" t="n">
        <x:v>2943045</x:v>
      </x:c>
      <x:c r="D50" s="183" t="n">
        <x:v>59127</x:v>
      </x:c>
      <x:c r="E50" s="180" t="n">
        <x:v>531347</x:v>
      </x:c>
      <x:c r="F50" s="180" t="n">
        <x:v>1176690</x:v>
      </x:c>
      <x:c r="G50" s="180" t="n">
        <x:v>1040117</x:v>
      </x:c>
      <x:c r="H50" s="180" t="n">
        <x:v>5084</x:v>
      </x:c>
      <x:c r="I50" s="180" t="n">
        <x:v>77360761</x:v>
      </x:c>
      <x:c r="J50" s="186" t="n">
        <x:f>H50/C50*100000</x:f>
        <x:v>172.74625430464027</x:v>
      </x:c>
      <x:c r="K50" s="189" t="n">
        <x:f>I50/C50</x:f>
        <x:v>26.285959270075722</x:v>
      </x:c>
      <x:c r="L50" s="183" t="n">
        <x:f>I50/H50</x:f>
        <x:v>15216.51475216365</x:v>
      </x:c>
      <x:c r="M50" s="192" t="n">
        <x:f>E50/C50</x:f>
        <x:v>0.18054328085367366</x:v>
      </x:c>
      <x:c r="N50" s="192" t="n">
        <x:f>G50/F50</x:f>
        <x:v>0.8839345961978091</x:v>
      </x:c>
      <x:c r="O50" s="195" t="n">
        <x:f>RANK(K50,$K$2:$K$52,0)</x:f>
        <x:v>49</x:v>
      </x:c>
      <x:c r="P50" s="177" t="str">
        <x:v>https://www.ic3.gov/AnnualReport/Reports/2025_IC3Report.pdf</x:v>
      </x:c>
      <x:c r="Q50" s="177" t="str">
        <x:v>https://www.census.gov/programs-surveys/acs/data/summary-file.2024.html</x:v>
      </x:c>
    </x:row>
    <x:row r="51">
      <x:c r="A51" s="177" t="str">
        <x:v>Kentucky</x:v>
      </x:c>
      <x:c r="B51" s="177" t="str">
        <x:v>21</x:v>
      </x:c>
      <x:c r="C51" s="180" t="n">
        <x:v>4588372</x:v>
      </x:c>
      <x:c r="D51" s="183" t="n">
        <x:v>64526</x:v>
      </x:c>
      <x:c r="E51" s="180" t="n">
        <x:v>825850</x:v>
      </x:c>
      <x:c r="F51" s="180" t="n">
        <x:v>1865456</x:v>
      </x:c>
      <x:c r="G51" s="180" t="n">
        <x:v>1696363</x:v>
      </x:c>
      <x:c r="H51" s="180" t="n">
        <x:v>9414</x:v>
      </x:c>
      <x:c r="I51" s="180" t="n">
        <x:v>119685861</x:v>
      </x:c>
      <x:c r="J51" s="186" t="n">
        <x:f>H51/C51*100000</x:f>
        <x:v>205.1708100389419</x:v>
      </x:c>
      <x:c r="K51" s="189" t="n">
        <x:f>I51/C51</x:f>
        <x:v>26.084602774142986</x:v>
      </x:c>
      <x:c r="L51" s="183" t="n">
        <x:f>I51/H51</x:f>
        <x:v>12713.603250478012</x:v>
      </x:c>
      <x:c r="M51" s="192" t="n">
        <x:f>E51/C51</x:f>
        <x:v>0.17998758601089884</x:v>
      </x:c>
      <x:c r="N51" s="192" t="n">
        <x:f>G51/F51</x:f>
        <x:v>0.9093556749663353</x:v>
      </x:c>
      <x:c r="O51" s="195" t="n">
        <x:f>RANK(K51,$K$2:$K$52,0)</x:f>
        <x:v>50</x:v>
      </x:c>
      <x:c r="P51" s="177" t="str">
        <x:v>https://www.ic3.gov/AnnualReport/Reports/2025_IC3Report.pdf</x:v>
      </x:c>
      <x:c r="Q51" s="177" t="str">
        <x:v>https://www.census.gov/programs-surveys/acs/data/summary-file.2024.html</x:v>
      </x:c>
    </x:row>
    <x:row r="52">
      <x:c r="A52" s="178" t="str">
        <x:v>Louisiana</x:v>
      </x:c>
      <x:c r="B52" s="178" t="str">
        <x:v>22</x:v>
      </x:c>
      <x:c r="C52" s="181" t="n">
        <x:v>4597740</x:v>
      </x:c>
      <x:c r="D52" s="184" t="n">
        <x:v>60986</x:v>
      </x:c>
      <x:c r="E52" s="181" t="n">
        <x:v>819864</x:v>
      </x:c>
      <x:c r="F52" s="181" t="n">
        <x:v>1848965</x:v>
      </x:c>
      <x:c r="G52" s="181" t="n">
        <x:v>1674185</x:v>
      </x:c>
      <x:c r="H52" s="181" t="n">
        <x:v>8623</x:v>
      </x:c>
      <x:c r="I52" s="181" t="n">
        <x:v>105440238</x:v>
      </x:c>
      <x:c r="J52" s="187" t="n">
        <x:f>H52/C52*100000</x:f>
        <x:v>187.54866521377895</x:v>
      </x:c>
      <x:c r="K52" s="190" t="n">
        <x:f>I52/C52</x:f>
        <x:v>22.933057980660063</x:v>
      </x:c>
      <x:c r="L52" s="184" t="n">
        <x:f>I52/H52</x:f>
        <x:v>12227.790560129884</x:v>
      </x:c>
      <x:c r="M52" s="193" t="n">
        <x:f>E52/C52</x:f>
        <x:v>0.17831891320518342</x:v>
      </x:c>
      <x:c r="N52" s="193" t="n">
        <x:f>G52/F52</x:f>
        <x:v>0.9054714394269227</x:v>
      </x:c>
      <x:c r="O52" s="196" t="n">
        <x:f>RANK(K52,$K$2:$K$52,0)</x:f>
        <x:v>51</x:v>
      </x:c>
      <x:c r="P52" s="178" t="str">
        <x:v>https://www.ic3.gov/AnnualReport/Reports/2025_IC3Report.pdf</x:v>
      </x:c>
      <x:c r="Q52" s="178" t="str">
        <x:v>https://www.census.gov/programs-surveys/acs/data/summary-file.2024.html</x:v>
      </x:c>
    </x:row>
  </x:sheetData>
  <x:conditionalFormatting sqref="K2:K52">
    <x:cfRule type="colorScale" priority="1">
      <x:colorScale>
        <x:cfvo type="min"/>
        <x:cfvo type="percentile" val="50"/>
        <x:cfvo type="max"/>
        <x:color rgb="FFEAF1F5"/>
        <x:color rgb="FFF8E6AF"/>
        <x:color rgb="FFE76F51"/>
      </x:colorScale>
    </x:cfRule>
  </x:conditionalFormatting>
  <x:pageMargins left="0.7" right="0.7" top="0.75" bottom="0.75" header="0.3" footer="0.3"/>
  <x:tableParts count="1">
    <x:tablePart xmlns:r="http://schemas.openxmlformats.org/officeDocument/2006/relationships" r:id="Rba01d9a565d24c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43" hidden="0" customWidth="1"/>
    <x:col min="4" max="4" width="14" hidden="0" customWidth="1"/>
    <x:col min="5" max="5" width="14" hidden="0" customWidth="1"/>
    <x:col min="6" max="6" width="14" hidden="0" customWidth="1"/>
    <x:col min="7" max="7" width="14" hidden="0" customWidth="1"/>
    <x:col min="9" max="9" width="16.3799991607666" hidden="0" customWidth="1"/>
    <x:col min="10" max="10" width="17.25" hidden="0" customWidth="1"/>
    <x:col min="11" max="11" width="9.380000114440918" hidden="0" customWidth="1"/>
  </x:cols>
  <x:sheetData>
    <x:row r="1">
      <x:c r="A1" s="259" t="str">
        <x:v>Cross-sectional OLS results</x:v>
      </x:c>
      <x:c r="B1" s="259"/>
      <x:c r="C1" s="259"/>
      <x:c r="D1" s="259"/>
      <x:c r="E1" s="259"/>
      <x:c r="F1" s="259"/>
      <x:c r="G1" s="259"/>
    </x:row>
    <x:row r="2">
      <x:c r="A2" s="259"/>
      <x:c r="B2" s="259"/>
      <x:c r="C2" s="259"/>
      <x:c r="D2" s="259"/>
      <x:c r="E2" s="259"/>
      <x:c r="F2" s="259"/>
      <x:c r="G2" s="259"/>
      <x:c r="I2" s="36" t="str">
        <x:v>Model</x:v>
      </x:c>
      <x:c r="J2" s="36" t="str">
        <x:v>R²</x:v>
      </x:c>
      <x:c r="K2" s="36" t="str">
        <x:v>Adjusted R²</x:v>
      </x:c>
    </x:row>
    <x:row r="3">
      <x:c r="A3" s="261" t="str">
        <x:v>Model: ln(outcome) = β₀ + β₁ ln(median income) + β₂ age 65+ share + β₃ internet household share + ε. N = 51. P-values use a large-sample normal approximation.</x:v>
      </x:c>
      <x:c r="B3" s="261"/>
      <x:c r="C3" s="261"/>
      <x:c r="D3" s="261"/>
      <x:c r="E3" s="261"/>
      <x:c r="F3" s="261"/>
      <x:c r="G3" s="261"/>
      <x:c r="I3" t="str">
        <x:v>A: Loss per capita</x:v>
      </x:c>
      <x:c r="J3" s="263" t="n">
        <x:v>0.5243045438</x:v>
      </x:c>
      <x:c r="K3" s="263" t="n">
        <x:v>0.493941004</x:v>
      </x:c>
    </x:row>
    <x:row r="4">
      <x:c r="A4" s="261"/>
      <x:c r="B4" s="261"/>
      <x:c r="C4" s="261"/>
      <x:c r="D4" s="261"/>
      <x:c r="E4" s="261"/>
      <x:c r="F4" s="261"/>
      <x:c r="G4" s="261"/>
      <x:c r="I4" t="str">
        <x:v>B: Complaint rate</x:v>
      </x:c>
      <x:c r="J4" s="263" t="n">
        <x:v>0.3999949609</x:v>
      </x:c>
      <x:c r="K4" s="263" t="n">
        <x:v>0.3616967669</x:v>
      </x:c>
    </x:row>
    <x:row r="5">
      <x:c r="I5" t="str">
        <x:v>C: Loss per complaint</x:v>
      </x:c>
      <x:c r="J5" s="263" t="n">
        <x:v>0.2731502732</x:v>
      </x:c>
      <x:c r="K5" s="263" t="n">
        <x:v>0.2267556098</x:v>
      </x:c>
    </x:row>
    <x:row r="6">
      <x:c r="A6" s="262" t="str">
        <x:v>Model</x:v>
      </x:c>
      <x:c r="B6" s="262" t="str">
        <x:v>Dependent variable</x:v>
      </x:c>
      <x:c r="C6" s="262" t="str">
        <x:v>Regressor</x:v>
      </x:c>
      <x:c r="D6" s="262" t="str">
        <x:v>Coefficient</x:v>
      </x:c>
      <x:c r="E6" s="262" t="str">
        <x:v>Std. error</x:v>
      </x:c>
      <x:c r="F6" s="262" t="str">
        <x:v>t statistic</x:v>
      </x:c>
      <x:c r="G6" s="262" t="str">
        <x:v>Approx. p-value</x:v>
      </x:c>
      <x:c r="I6" t="str">
        <x:v>Note</x:v>
      </x:c>
      <x:c r="J6" t="str">
        <x:v>Descriptive, not causal</x:v>
      </x:c>
      <x:c r="K6"/>
    </x:row>
    <x:row r="7">
      <x:c r="A7" t="str">
        <x:v>A: Log loss per capita</x:v>
      </x:c>
      <x:c r="B7" t="str">
        <x:v>loss_per_capita</x:v>
      </x:c>
      <x:c r="C7" t="str">
        <x:v>Intercept</x:v>
      </x:c>
      <x:c r="D7" s="263" t="n">
        <x:v>-14.151492660938706</x:v>
      </x:c>
      <x:c r="E7" s="263" t="n">
        <x:v>2.6891027293719882</x:v>
      </x:c>
      <x:c r="F7" s="263" t="n">
        <x:v>-5.262533300185091</x:v>
      </x:c>
      <x:c r="G7" s="264" t="n">
        <x:v>1.4208391907466478e-7</x:v>
      </x:c>
    </x:row>
    <x:row r="8">
      <x:c r="A8" t="str">
        <x:v>A: Log loss per capita</x:v>
      </x:c>
      <x:c r="B8" t="str">
        <x:v>loss_per_capita</x:v>
      </x:c>
      <x:c r="C8" t="str">
        <x:v>Log median household income</x:v>
      </x:c>
      <x:c r="D8" s="263" t="n">
        <x:v>1.406954889726663</x:v>
      </x:c>
      <x:c r="E8" s="263" t="n">
        <x:v>0.3649295182325373</x:v>
      </x:c>
      <x:c r="F8" s="263" t="n">
        <x:v>3.8554154142996326</x:v>
      </x:c>
      <x:c r="G8" s="264" t="n">
        <x:v>0.00011553327359914434</x:v>
      </x:c>
    </x:row>
    <x:row r="9">
      <x:c r="A9" t="str">
        <x:v>A: Log loss per capita</x:v>
      </x:c>
      <x:c r="B9" t="str">
        <x:v>loss_per_capita</x:v>
      </x:c>
      <x:c r="C9" t="str">
        <x:v>Population age 65+ (percentage points)</x:v>
      </x:c>
      <x:c r="D9" s="263" t="n">
        <x:v>-0.004170418171979051</x:v>
      </x:c>
      <x:c r="E9" s="263" t="n">
        <x:v>0.016139632788823095</x:v>
      </x:c>
      <x:c r="F9" s="263" t="n">
        <x:v>-0.25839610024257303</x:v>
      </x:c>
      <x:c r="G9" s="264" t="n">
        <x:v>0.7961012259900728</x:v>
      </x:c>
    </x:row>
    <x:row r="10">
      <x:c r="A10" t="str">
        <x:v>A: Log loss per capita</x:v>
      </x:c>
      <x:c r="B10" t="str">
        <x:v>loss_per_capita</x:v>
      </x:c>
      <x:c r="C10" t="str">
        <x:v>Households with internet (percentage points)</x:v>
      </x:c>
      <x:c r="D10" s="263" t="n">
        <x:v>0.023696509718375003</x:v>
      </x:c>
      <x:c r="E10" s="263" t="n">
        <x:v>0.03624259364240821</x:v>
      </x:c>
      <x:c r="F10" s="263" t="n">
        <x:v>0.653830406073566</x:v>
      </x:c>
      <x:c r="G10" s="264" t="n">
        <x:v>0.513221074644993</x:v>
      </x:c>
    </x:row>
    <x:row r="11">
      <x:c r="A11" t="str">
        <x:v>B: Log complaint rate</x:v>
      </x:c>
      <x:c r="B11" t="str">
        <x:v>complaints_per_100k</x:v>
      </x:c>
      <x:c r="C11" t="str">
        <x:v>Intercept</x:v>
      </x:c>
      <x:c r="D11" s="263" t="n">
        <x:v>-2.721068117236745</x:v>
      </x:c>
      <x:c r="E11" s="263" t="n">
        <x:v>1.9269180169202684</x:v>
      </x:c>
      <x:c r="F11" s="263" t="n">
        <x:v>-1.4121348668407498</x:v>
      </x:c>
      <x:c r="G11" s="264" t="n">
        <x:v>0.15791025410846093</x:v>
      </x:c>
    </x:row>
    <x:row r="12">
      <x:c r="A12" t="str">
        <x:v>B: Log complaint rate</x:v>
      </x:c>
      <x:c r="B12" t="str">
        <x:v>complaints_per_100k</x:v>
      </x:c>
      <x:c r="C12" t="str">
        <x:v>Log median household income</x:v>
      </x:c>
      <x:c r="D12" s="263" t="n">
        <x:v>0.26554742165023526</x:v>
      </x:c>
      <x:c r="E12" s="263" t="n">
        <x:v>0.2614958721761188</x:v>
      </x:c>
      <x:c r="F12" s="263" t="n">
        <x:v>1.0154937416044094</x:v>
      </x:c>
      <x:c r="G12" s="264" t="n">
        <x:v>0.3098705283143439</x:v>
      </x:c>
    </x:row>
    <x:row r="13">
      <x:c r="A13" t="str">
        <x:v>B: Log complaint rate</x:v>
      </x:c>
      <x:c r="B13" t="str">
        <x:v>complaints_per_100k</x:v>
      </x:c>
      <x:c r="C13" t="str">
        <x:v>Population age 65+ (percentage points)</x:v>
      </x:c>
      <x:c r="D13" s="263" t="n">
        <x:v>-0.01744859626728093</x:v>
      </x:c>
      <x:c r="E13" s="263" t="n">
        <x:v>0.011565102689298657</x:v>
      </x:c>
      <x:c r="F13" s="263" t="n">
        <x:v>-1.5087281744092378</x:v>
      </x:c>
      <x:c r="G13" s="264" t="n">
        <x:v>0.13136826243232114</x:v>
      </x:c>
    </x:row>
    <x:row r="14">
      <x:c r="A14" t="str">
        <x:v>B: Log complaint rate</x:v>
      </x:c>
      <x:c r="B14" t="str">
        <x:v>complaints_per_100k</x:v>
      </x:c>
      <x:c r="C14" t="str">
        <x:v>Households with internet (percentage points)</x:v>
      </x:c>
      <x:c r="D14" s="263" t="n">
        <x:v>0.060297273736213186</x:v>
      </x:c>
      <x:c r="E14" s="263" t="n">
        <x:v>0.02597018920351397</x:v>
      </x:c>
      <x:c r="F14" s="263" t="n">
        <x:v>2.3217880033024363</x:v>
      </x:c>
      <x:c r="G14" s="264" t="n">
        <x:v>0.020244353543144467</x:v>
      </x:c>
    </x:row>
    <x:row r="15">
      <x:c r="A15" t="str">
        <x:v>C: Log loss per complaint</x:v>
      </x:c>
      <x:c r="B15" t="str">
        <x:v>loss_per_complaint</x:v>
      </x:c>
      <x:c r="C15" t="str">
        <x:v>Intercept</x:v>
      </x:c>
      <x:c r="D15" s="263" t="n">
        <x:v>0.08250092126827328</x:v>
      </x:c>
      <x:c r="E15" s="263" t="n">
        <x:v>2.4656260042694536</x:v>
      </x:c>
      <x:c r="F15" s="263" t="n">
        <x:v>0.033460436061842104</x:v>
      </x:c>
      <x:c r="G15" s="264" t="n">
        <x:v>0.9733074156011654</x:v>
      </x:c>
    </x:row>
    <x:row r="16">
      <x:c r="A16" t="str">
        <x:v>C: Log loss per complaint</x:v>
      </x:c>
      <x:c r="B16" t="str">
        <x:v>loss_per_complaint</x:v>
      </x:c>
      <x:c r="C16" t="str">
        <x:v>Log median household income</x:v>
      </x:c>
      <x:c r="D16" s="263" t="n">
        <x:v>1.1414074680764195</x:v>
      </x:c>
      <x:c r="E16" s="263" t="n">
        <x:v>0.33460220766270304</x:v>
      </x:c>
      <x:c r="F16" s="263" t="n">
        <x:v>3.4112371106260584</x:v>
      </x:c>
      <x:c r="G16" s="264" t="n">
        <x:v>0.0006466882830027387</x:v>
      </x:c>
    </x:row>
    <x:row r="17">
      <x:c r="A17" t="str">
        <x:v>C: Log loss per complaint</x:v>
      </x:c>
      <x:c r="B17" t="str">
        <x:v>loss_per_complaint</x:v>
      </x:c>
      <x:c r="C17" t="str">
        <x:v>Population age 65+ (percentage points)</x:v>
      </x:c>
      <x:c r="D17" s="263" t="n">
        <x:v>0.013278178095302184</x:v>
      </x:c>
      <x:c r="E17" s="263" t="n">
        <x:v>0.014798355551398249</x:v>
      </x:c>
      <x:c r="F17" s="263" t="n">
        <x:v>0.8972738929797893</x:v>
      </x:c>
      <x:c r="G17" s="264" t="n">
        <x:v>0.3695727837946112</x:v>
      </x:c>
    </x:row>
    <x:row r="18">
      <x:c r="A18" t="str">
        <x:v>C: Log loss per complaint</x:v>
      </x:c>
      <x:c r="B18" t="str">
        <x:v>loss_per_complaint</x:v>
      </x:c>
      <x:c r="C18" t="str">
        <x:v>Households with internet (percentage points)</x:v>
      </x:c>
      <x:c r="D18" s="263" t="n">
        <x:v>-0.036600764017837184</x:v>
      </x:c>
      <x:c r="E18" s="263" t="n">
        <x:v>0.03323066849430543</x:v>
      </x:c>
      <x:c r="F18" s="263" t="n">
        <x:v>-1.1014152190200228</x:v>
      </x:c>
      <x:c r="G18" s="264" t="n">
        <x:v>0.2707159847169456</x:v>
      </x:c>
    </x:row>
  </x:sheetData>
  <x:mergeCells>
    <x:mergeCell ref="A1:G2"/>
    <x:mergeCell ref="A3:G4"/>
  </x:mergeCells>
  <x:conditionalFormatting sqref="G7:G18">
    <x:cfRule type="cellIs" dxfId="0" priority="1" operator="lessThan">
      <x:formula>0.05</x:formula>
    </x:cfRule>
  </x:conditionalFormatting>
  <x:pageMargins left="0.7" right="0.7" top="0.75" bottom="0.75" header="0.3" footer="0.3"/>
  <x:tableParts count="1">
    <x:tablePart xmlns:r="http://schemas.openxmlformats.org/officeDocument/2006/relationships" r:id="R7baa045060714aa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34" hidden="0" customWidth="1"/>
    <x:col min="3" max="3" width="60" hidden="0" customWidth="1"/>
    <x:col min="4" max="4" width="48" hidden="0" customWidth="1"/>
  </x:cols>
  <x:sheetData>
    <x:row r="1">
      <x:c r="A1" s="259" t="str">
        <x:v>Sources, definitions, and reproducibility notes</x:v>
      </x:c>
      <x:c r="B1" s="259"/>
      <x:c r="C1" s="259"/>
      <x:c r="D1" s="259"/>
    </x:row>
    <x:row r="2">
      <x:c r="A2" s="259"/>
      <x:c r="B2" s="259"/>
      <x:c r="C2" s="259"/>
      <x:c r="D2" s="259"/>
    </x:row>
    <x:row r="4">
      <x:c r="A4" s="67" t="str">
        <x:v>Source</x:v>
      </x:c>
      <x:c r="B4" s="67" t="str">
        <x:v>Use</x:v>
      </x:c>
      <x:c r="C4" s="67" t="str">
        <x:v>URL</x:v>
      </x:c>
      <x:c r="D4" s="67" t="str">
        <x:v>Caveat / construction</x:v>
      </x:c>
    </x:row>
    <x:row r="5">
      <x:c r="A5" s="266" t="str">
        <x:v>FBI IC3 2025 Annual Report</x:v>
      </x:c>
      <x:c r="B5" s="266" t="str">
        <x:v>State complaint counts and reported losses, pp. 27–28</x:v>
      </x:c>
      <x:c r="C5" s="266" t="str">
        <x:v>https://www.ic3.gov/AnnualReport/Reports/2025_IC3Report.pdf</x:v>
      </x:c>
      <x:c r="D5" s="266" t="str">
        <x:v>Complaint data are voluntary reports, not a prevalence survey.</x:v>
      </x:c>
    </x:row>
    <x:row r="6">
      <x:c r="A6" s="266" t="str">
        <x:v>ACS 2024 1-year B01003</x:v>
      </x:c>
      <x:c r="B6" s="266" t="str">
        <x:v>State population</x:v>
      </x:c>
      <x:c r="C6" s="266" t="str">
        <x:v>https://www2.census.gov/programs-surveys/acs/summary_file/2024/table-based-SF/data/1YRData/acsdt1y2024-b01003.dat</x:v>
      </x:c>
      <x:c r="D6" s="266" t="str">
        <x:v>Population denominator.</x:v>
      </x:c>
    </x:row>
    <x:row r="7">
      <x:c r="A7" s="266" t="str">
        <x:v>ACS 2024 1-year B19013</x:v>
      </x:c>
      <x:c r="B7" s="266" t="str">
        <x:v>Median household income (2024 dollars)</x:v>
      </x:c>
      <x:c r="C7" s="266" t="str">
        <x:v>https://www2.census.gov/programs-surveys/acs/summary_file/2024/table-based-SF/data/1YRData/acsdt1y2024-b19013.dat</x:v>
      </x:c>
      <x:c r="D7" s="266" t="str">
        <x:v>Income regressor.</x:v>
      </x:c>
    </x:row>
    <x:row r="8">
      <x:c r="A8" s="266" t="str">
        <x:v>ACS 2024 1-year B01001</x:v>
      </x:c>
      <x:c r="B8" s="266" t="str">
        <x:v>Age 65+ population share</x:v>
      </x:c>
      <x:c r="C8" s="266" t="str">
        <x:v>https://www2.census.gov/programs-surveys/acs/summary_file/2024/table-based-SF/data/1YRData/acsdt1y2024-b01001.dat</x:v>
      </x:c>
      <x:c r="D8" s="266" t="str">
        <x:v>Sum of male fields 020–025 and female fields 044–049 divided by total population.</x:v>
      </x:c>
    </x:row>
    <x:row r="9">
      <x:c r="A9" s="266" t="str">
        <x:v>ACS 2024 1-year B28002</x:v>
      </x:c>
      <x:c r="B9" s="266" t="str">
        <x:v>Households with internet subscription</x:v>
      </x:c>
      <x:c r="C9" s="266" t="str">
        <x:v>https://www2.census.gov/programs-surveys/acs/summary_file/2024/table-based-SF/data/1YRData/acsdt1y2024-b28002.dat</x:v>
      </x:c>
      <x:c r="D9" s="266" t="str">
        <x:v>B28002_E002 divided by B28002_E001.</x:v>
      </x:c>
    </x:row>
    <x:row r="10">
      <x:c r="A10" s="266" t="str">
        <x:v>ACS geography file</x:v>
      </x:c>
      <x:c r="B10" s="266" t="str">
        <x:v>State names and FIPS matches</x:v>
      </x:c>
      <x:c r="C10" s="266" t="str">
        <x:v>https://www2.census.gov/programs-surveys/acs/summary_file/2024/table-based-SF/documentation/Geos20241YR.txt</x:v>
      </x:c>
      <x:c r="D10" s="266" t="str">
        <x:v>Filtered to summary level 040, component 00.</x:v>
      </x:c>
    </x:row>
    <x:row r="12">
      <x:c r="A12" s="36" t="str">
        <x:v>Key identity</x:v>
      </x:c>
      <x:c r="B12" s="36"/>
      <x:c r="C12" s="36"/>
      <x:c r="D12" s="36"/>
    </x:row>
    <x:row r="13">
      <x:c r="A13" s="269" t="str">
        <x:v>Reported loss per capita = (complaints ÷ population) × (reported loss ÷ complaints). This decomposition separates reported exposure from loss severity.</x:v>
      </x:c>
      <x:c r="B13" s="269"/>
      <x:c r="C13" s="269"/>
      <x:c r="D13" s="269"/>
    </x:row>
    <x:row r="14">
      <x:c r="A14" s="269"/>
      <x:c r="B14" s="269"/>
      <x:c r="C14" s="269"/>
      <x:c r="D14" s="269"/>
    </x:row>
    <x:row r="16">
      <x:c r="A16" s="288" t="str">
        <x:v>Limitations: ecological analysis cannot infer individual risk; complaint propensity may differ by state; 2025 IC3 outcomes are matched to 2024 ACS covariates; extreme incidents can move state averages; omitted factors and reverse causality remain possible. Coefficients are associations, not causal effects.</x:v>
      </x:c>
      <x:c r="B16" s="289"/>
      <x:c r="C16" s="289"/>
      <x:c r="D16" s="290"/>
    </x:row>
    <x:row r="17">
      <x:c r="A17" s="291"/>
      <x:c r="B17" s="292"/>
      <x:c r="C17" s="292"/>
      <x:c r="D17" s="293"/>
    </x:row>
    <x:row r="18">
      <x:c r="A18" s="291"/>
      <x:c r="B18" s="292"/>
      <x:c r="C18" s="292"/>
      <x:c r="D18" s="293"/>
    </x:row>
    <x:row r="19">
      <x:c r="A19" s="294"/>
      <x:c r="B19" s="295"/>
      <x:c r="C19" s="295"/>
      <x:c r="D19" s="296"/>
    </x:row>
  </x:sheetData>
  <x:mergeCells>
    <x:mergeCell ref="A1:D2"/>
    <x:mergeCell ref="A12:D12"/>
    <x:mergeCell ref="A13:D14"/>
    <x:mergeCell ref="A16:D1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25" hidden="0" customWidth="1"/>
    <x:col min="2" max="2" width="12.380000114440918" hidden="0" customWidth="1"/>
    <x:col min="3" max="3" width="11.75" hidden="0" customWidth="1"/>
  </x:cols>
  <x:sheetData>
    <x:row r="1">
      <x:c r="A1" s="172" t="str">
        <x:v>State</x:v>
      </x:c>
      <x:c r="B1" s="172" t="str">
        <x:v>Median income</x:v>
      </x:c>
      <x:c r="C1" s="172" t="str">
        <x:v>Loss per capita</x:v>
      </x:c>
    </x:row>
    <x:row r="2">
      <x:c r="A2" t="str">
        <x:v>District of Columbia</x:v>
      </x:c>
      <x:c r="B2" s="226" t="n">
        <x:v>109707</x:v>
      </x:c>
      <x:c r="C2" s="225" t="n">
        <x:v>138.6516155215379</x:v>
      </x:c>
    </x:row>
    <x:row r="3">
      <x:c r="A3" t="str">
        <x:v>California</x:v>
      </x:c>
      <x:c r="B3" s="226" t="n">
        <x:v>100149</x:v>
      </x:c>
      <x:c r="C3" s="225" t="n">
        <x:v>93.1929648056163</x:v>
      </x:c>
    </x:row>
    <x:row r="4">
      <x:c r="A4" t="str">
        <x:v>Nevada</x:v>
      </x:c>
      <x:c r="B4" s="226" t="n">
        <x:v>81134</x:v>
      </x:c>
      <x:c r="C4" s="225" t="n">
        <x:v>92.49833188827921</x:v>
      </x:c>
    </x:row>
    <x:row r="5">
      <x:c r="A5" t="str">
        <x:v>Arizona</x:v>
      </x:c>
      <x:c r="B5" s="226" t="n">
        <x:v>81486</x:v>
      </x:c>
      <x:c r="C5" s="225" t="n">
        <x:v>83.1797240815026</x:v>
      </x:c>
    </x:row>
    <x:row r="6">
      <x:c r="A6" t="str">
        <x:v>Hawaii</x:v>
      </x:c>
      <x:c r="B6" s="226" t="n">
        <x:v>100745</x:v>
      </x:c>
      <x:c r="C6" s="225" t="n">
        <x:v>73.60762675414516</x:v>
      </x:c>
    </x:row>
    <x:row r="7">
      <x:c r="A7" t="str">
        <x:v>New Jersey</x:v>
      </x:c>
      <x:c r="B7" s="226" t="n">
        <x:v>104294</x:v>
      </x:c>
      <x:c r="C7" s="225" t="n">
        <x:v>69.51081550484267</x:v>
      </x:c>
    </x:row>
    <x:row r="8">
      <x:c r="A8" t="str">
        <x:v>Florida</x:v>
      </x:c>
      <x:c r="B8" s="226" t="n">
        <x:v>77735</x:v>
      </x:c>
      <x:c r="C8" s="225" t="n">
        <x:v>68.29214068927571</x:v>
      </x:c>
    </x:row>
    <x:row r="9">
      <x:c r="A9" t="str">
        <x:v>Rhode Island</x:v>
      </x:c>
      <x:c r="B9" s="226" t="n">
        <x:v>83504</x:v>
      </x:c>
      <x:c r="C9" s="225" t="n">
        <x:v>64.69470596273693</x:v>
      </x:c>
    </x:row>
    <x:row r="10">
      <x:c r="A10" t="str">
        <x:v>Maryland</x:v>
      </x:c>
      <x:c r="B10" s="226" t="n">
        <x:v>102905</x:v>
      </x:c>
      <x:c r="C10" s="225" t="n">
        <x:v>62.30705946781368</x:v>
      </x:c>
    </x:row>
    <x:row r="11">
      <x:c r="A11" t="str">
        <x:v>New York</x:v>
      </x:c>
      <x:c r="B11" s="226" t="n">
        <x:v>85820</x:v>
      </x:c>
      <x:c r="C11" s="225" t="n">
        <x:v>61.725100376257444</x:v>
      </x:c>
    </x:row>
    <x:row r="12">
      <x:c r="A12" t="str">
        <x:v>Connecticut</x:v>
      </x:c>
      <x:c r="B12" s="226" t="n">
        <x:v>96049</x:v>
      </x:c>
      <x:c r="C12" s="225" t="n">
        <x:v>59.72682744187932</x:v>
      </x:c>
    </x:row>
    <x:row r="13">
      <x:c r="A13" t="str">
        <x:v>Colorado</x:v>
      </x:c>
      <x:c r="B13" s="226" t="n">
        <x:v>97113</x:v>
      </x:c>
      <x:c r="C13" s="225" t="n">
        <x:v>59.597159308930905</x:v>
      </x:c>
    </x:row>
    <x:row r="14">
      <x:c r="A14" t="str">
        <x:v>Delaware</x:v>
      </x:c>
      <x:c r="B14" s="226" t="n">
        <x:v>87534</x:v>
      </x:c>
      <x:c r="C14" s="225" t="n">
        <x:v>58.95188878970489</x:v>
      </x:c>
    </x:row>
    <x:row r="15">
      <x:c r="A15" t="str">
        <x:v>Texas</x:v>
      </x:c>
      <x:c r="B15" s="226" t="n">
        <x:v>79721</x:v>
      </x:c>
      <x:c r="C15" s="225" t="n">
        <x:v>58.34412582395143</x:v>
      </x:c>
    </x:row>
    <x:row r="16">
      <x:c r="A16" t="str">
        <x:v>Massachusetts</x:v>
      </x:c>
      <x:c r="B16" s="226" t="n">
        <x:v>104828</x:v>
      </x:c>
      <x:c r="C16" s="225" t="n">
        <x:v>57.58327063631182</x:v>
      </x:c>
    </x:row>
    <x:row r="17">
      <x:c r="A17" t="str">
        <x:v>Washington</x:v>
      </x:c>
      <x:c r="B17" s="226" t="n">
        <x:v>99389</x:v>
      </x:c>
      <x:c r="C17" s="225" t="n">
        <x:v>57.57162755805976</x:v>
      </x:c>
    </x:row>
    <x:row r="18">
      <x:c r="A18" t="str">
        <x:v>Utah</x:v>
      </x:c>
      <x:c r="B18" s="226" t="n">
        <x:v>96658</x:v>
      </x:c>
      <x:c r="C18" s="225" t="n">
        <x:v>55.77591046728049</x:v>
      </x:c>
    </x:row>
    <x:row r="19">
      <x:c r="A19" t="str">
        <x:v>South Dakota</x:v>
      </x:c>
      <x:c r="B19" s="226" t="n">
        <x:v>76881</x:v>
      </x:c>
      <x:c r="C19" s="225" t="n">
        <x:v>55.644566866630115</x:v>
      </x:c>
    </x:row>
    <x:row r="20">
      <x:c r="A20" t="str">
        <x:v>Virginia</x:v>
      </x:c>
      <x:c r="B20" s="226" t="n">
        <x:v>92090</x:v>
      </x:c>
      <x:c r="C20" s="225" t="n">
        <x:v>54.035806153421866</x:v>
      </x:c>
    </x:row>
    <x:row r="21">
      <x:c r="A21" t="str">
        <x:v>Alaska</x:v>
      </x:c>
      <x:c r="B21" s="226" t="n">
        <x:v>95665</x:v>
      </x:c>
      <x:c r="C21" s="225" t="n">
        <x:v>54.00710142636526</x:v>
      </x:c>
    </x:row>
    <x:row r="22">
      <x:c r="A22" t="str">
        <x:v>West Virginia</x:v>
      </x:c>
      <x:c r="B22" s="226" t="n">
        <x:v>60798</x:v>
      </x:c>
      <x:c r="C22" s="225" t="n">
        <x:v>52.344431205115995</x:v>
      </x:c>
    </x:row>
    <x:row r="23">
      <x:c r="A23" t="str">
        <x:v>Kansas</x:v>
      </x:c>
      <x:c r="B23" s="226" t="n">
        <x:v>75514</x:v>
      </x:c>
      <x:c r="C23" s="225" t="n">
        <x:v>49.59833145156241</x:v>
      </x:c>
    </x:row>
    <x:row r="24">
      <x:c r="A24" t="str">
        <x:v>South Carolina</x:v>
      </x:c>
      <x:c r="B24" s="226" t="n">
        <x:v>72350</x:v>
      </x:c>
      <x:c r="C24" s="225" t="n">
        <x:v>48.20061542325361</x:v>
      </x:c>
    </x:row>
    <x:row r="25">
      <x:c r="A25" t="str">
        <x:v>Georgia</x:v>
      </x:c>
      <x:c r="B25" s="226" t="n">
        <x:v>79991</x:v>
      </x:c>
      <x:c r="C25" s="225" t="n">
        <x:v>47.812163320268766</x:v>
      </x:c>
    </x:row>
    <x:row r="26">
      <x:c r="A26" t="str">
        <x:v>North Dakota</x:v>
      </x:c>
      <x:c r="B26" s="226" t="n">
        <x:v>77871</x:v>
      </x:c>
      <x:c r="C26" s="225" t="n">
        <x:v>47.53573078506794</x:v>
      </x:c>
    </x:row>
    <x:row r="27">
      <x:c r="A27" t="str">
        <x:v>Montana</x:v>
      </x:c>
      <x:c r="B27" s="226" t="n">
        <x:v>75340</x:v>
      </x:c>
      <x:c r="C27" s="225" t="n">
        <x:v>46.77393199106955</x:v>
      </x:c>
    </x:row>
    <x:row r="28">
      <x:c r="A28" t="str">
        <x:v>Oregon</x:v>
      </x:c>
      <x:c r="B28" s="226" t="n">
        <x:v>85220</x:v>
      </x:c>
      <x:c r="C28" s="225" t="n">
        <x:v>45.21996778837793</x:v>
      </x:c>
    </x:row>
    <x:row r="29">
      <x:c r="A29" t="str">
        <x:v>Idaho</x:v>
      </x:c>
      <x:c r="B29" s="226" t="n">
        <x:v>81166</x:v>
      </x:c>
      <x:c r="C29" s="225" t="n">
        <x:v>44.326759488194305</x:v>
      </x:c>
    </x:row>
    <x:row r="30">
      <x:c r="A30" t="str">
        <x:v>Wyoming</x:v>
      </x:c>
      <x:c r="B30" s="226" t="n">
        <x:v>75532</x:v>
      </x:c>
      <x:c r="C30" s="225" t="n">
        <x:v>43.95067033344792</x:v>
      </x:c>
    </x:row>
    <x:row r="31">
      <x:c r="A31" t="str">
        <x:v>Minnesota</x:v>
      </x:c>
      <x:c r="B31" s="226" t="n">
        <x:v>87117</x:v>
      </x:c>
      <x:c r="C31" s="225" t="n">
        <x:v>42.96331754514944</x:v>
      </x:c>
    </x:row>
    <x:row r="32">
      <x:c r="A32" t="str">
        <x:v>Illinois</x:v>
      </x:c>
      <x:c r="B32" s="226" t="n">
        <x:v>83211</x:v>
      </x:c>
      <x:c r="C32" s="225" t="n">
        <x:v>42.11239553434348</x:v>
      </x:c>
    </x:row>
    <x:row r="33">
      <x:c r="A33" t="str">
        <x:v>New Hampshire</x:v>
      </x:c>
      <x:c r="B33" s="226" t="n">
        <x:v>99782</x:v>
      </x:c>
      <x:c r="C33" s="225" t="n">
        <x:v>42.073581721351964</x:v>
      </x:c>
    </x:row>
    <x:row r="34">
      <x:c r="A34" t="str">
        <x:v>Pennsylvania</x:v>
      </x:c>
      <x:c r="B34" s="226" t="n">
        <x:v>77545</x:v>
      </x:c>
      <x:c r="C34" s="225" t="n">
        <x:v>41.119158167320414</x:v>
      </x:c>
    </x:row>
    <x:row r="35">
      <x:c r="A35" t="str">
        <x:v>Vermont</x:v>
      </x:c>
      <x:c r="B35" s="226" t="n">
        <x:v>82730</x:v>
      </x:c>
      <x:c r="C35" s="225" t="n">
        <x:v>40.96733966287994</x:v>
      </x:c>
    </x:row>
    <x:row r="36">
      <x:c r="A36" t="str">
        <x:v>Maine</x:v>
      </x:c>
      <x:c r="B36" s="226" t="n">
        <x:v>76442</x:v>
      </x:c>
      <x:c r="C36" s="225" t="n">
        <x:v>40.238816465624495</x:v>
      </x:c>
    </x:row>
    <x:row r="37">
      <x:c r="A37" t="str">
        <x:v>New Mexico</x:v>
      </x:c>
      <x:c r="B37" s="226" t="n">
        <x:v>67816</x:v>
      </x:c>
      <x:c r="C37" s="225" t="n">
        <x:v>40.16948432488865</x:v>
      </x:c>
    </x:row>
    <x:row r="38">
      <x:c r="A38" t="str">
        <x:v>North Carolina</x:v>
      </x:c>
      <x:c r="B38" s="226" t="n">
        <x:v>73958</x:v>
      </x:c>
      <x:c r="C38" s="225" t="n">
        <x:v>39.06941683269926</x:v>
      </x:c>
    </x:row>
    <x:row r="39">
      <x:c r="A39" t="str">
        <x:v>Michigan</x:v>
      </x:c>
      <x:c r="B39" s="226" t="n">
        <x:v>72389</x:v>
      </x:c>
      <x:c r="C39" s="225" t="n">
        <x:v>37.5789824701229</x:v>
      </x:c>
    </x:row>
    <x:row r="40">
      <x:c r="A40" t="str">
        <x:v>Missouri</x:v>
      </x:c>
      <x:c r="B40" s="226" t="n">
        <x:v>71589</x:v>
      </x:c>
      <x:c r="C40" s="225" t="n">
        <x:v>37.456516615413484</x:v>
      </x:c>
    </x:row>
    <x:row r="41">
      <x:c r="A41" t="str">
        <x:v>Tennessee</x:v>
      </x:c>
      <x:c r="B41" s="226" t="n">
        <x:v>71997</x:v>
      </x:c>
      <x:c r="C41" s="225" t="n">
        <x:v>37.24734792985369</x:v>
      </x:c>
    </x:row>
    <x:row r="42">
      <x:c r="A42" t="str">
        <x:v>Nebraska</x:v>
      </x:c>
      <x:c r="B42" s="226" t="n">
        <x:v>76376</x:v>
      </x:c>
      <x:c r="C42" s="225" t="n">
        <x:v>35.82445376785246</x:v>
      </x:c>
    </x:row>
    <x:row r="43">
      <x:c r="A43" t="str">
        <x:v>Ohio</x:v>
      </x:c>
      <x:c r="B43" s="226" t="n">
        <x:v>72212</x:v>
      </x:c>
      <x:c r="C43" s="225" t="n">
        <x:v>35.45222153704054</x:v>
      </x:c>
    </x:row>
    <x:row r="44">
      <x:c r="A44" t="str">
        <x:v>Indiana</x:v>
      </x:c>
      <x:c r="B44" s="226" t="n">
        <x:v>71959</x:v>
      </x:c>
      <x:c r="C44" s="225" t="n">
        <x:v>33.6521543410682</x:v>
      </x:c>
    </x:row>
    <x:row r="45">
      <x:c r="A45" t="str">
        <x:v>Arkansas</x:v>
      </x:c>
      <x:c r="B45" s="226" t="n">
        <x:v>62106</x:v>
      </x:c>
      <x:c r="C45" s="225" t="n">
        <x:v>33.202782776844884</x:v>
      </x:c>
    </x:row>
    <x:row r="46">
      <x:c r="A46" t="str">
        <x:v>Wisconsin</x:v>
      </x:c>
      <x:c r="B46" s="226" t="n">
        <x:v>77488</x:v>
      </x:c>
      <x:c r="C46" s="225" t="n">
        <x:v>32.583213652129054</x:v>
      </x:c>
    </x:row>
    <x:row r="47">
      <x:c r="A47" t="str">
        <x:v>Alabama</x:v>
      </x:c>
      <x:c r="B47" s="226" t="n">
        <x:v>66659</x:v>
      </x:c>
      <x:c r="C47" s="225" t="n">
        <x:v>32.42001093898655</x:v>
      </x:c>
    </x:row>
    <x:row r="48">
      <x:c r="A48" t="str">
        <x:v>Oklahoma</x:v>
      </x:c>
      <x:c r="B48" s="226" t="n">
        <x:v>66148</x:v>
      </x:c>
      <x:c r="C48" s="225" t="n">
        <x:v>32.212238483583874</x:v>
      </x:c>
    </x:row>
    <x:row r="49">
      <x:c r="A49" t="str">
        <x:v>Iowa</x:v>
      </x:c>
      <x:c r="B49" s="226" t="n">
        <x:v>75501</x:v>
      </x:c>
      <x:c r="C49" s="225" t="n">
        <x:v>29.46798846702502</x:v>
      </x:c>
    </x:row>
    <x:row r="50">
      <x:c r="A50" t="str">
        <x:v>Mississippi</x:v>
      </x:c>
      <x:c r="B50" s="226" t="n">
        <x:v>59127</x:v>
      </x:c>
      <x:c r="C50" s="225" t="n">
        <x:v>26.285959270075722</x:v>
      </x:c>
    </x:row>
    <x:row r="51">
      <x:c r="A51" t="str">
        <x:v>Kentucky</x:v>
      </x:c>
      <x:c r="B51" s="226" t="n">
        <x:v>64526</x:v>
      </x:c>
      <x:c r="C51" s="225" t="n">
        <x:v>26.084602774142986</x:v>
      </x:c>
    </x:row>
    <x:row r="52">
      <x:c r="A52" t="str">
        <x:v>Louisiana</x:v>
      </x:c>
      <x:c r="B52" s="226" t="n">
        <x:v>60986</x:v>
      </x:c>
      <x:c r="C52" s="225" t="n">
        <x:v>22.933057980660063</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198" t="str">
        <x:v>Next-level evidence: four-year state panel</x:v>
      </x:c>
      <x:c r="B1" s="198"/>
      <x:c r="C1" s="198"/>
      <x:c r="D1" s="198"/>
      <x:c r="E1" s="198"/>
      <x:c r="F1" s="198"/>
      <x:c r="G1" s="198"/>
      <x:c r="H1" s="198"/>
      <x:c r="I1" s="198"/>
      <x:c r="J1" s="198"/>
      <x:c r="K1" s="198"/>
      <x:c r="L1" s="198"/>
      <x:c r="M1" s="198"/>
      <x:c r="N1" s="198"/>
    </x:row>
    <x:row r="2">
      <x:c r="A2" s="198"/>
      <x:c r="B2" s="198"/>
      <x:c r="C2" s="198"/>
      <x:c r="D2" s="198"/>
      <x:c r="E2" s="198"/>
      <x:c r="F2" s="198"/>
      <x:c r="G2" s="198"/>
      <x:c r="H2" s="198"/>
      <x:c r="I2" s="198"/>
      <x:c r="J2" s="198"/>
      <x:c r="K2" s="198"/>
      <x:c r="L2" s="198"/>
      <x:c r="M2" s="198"/>
      <x:c r="N2" s="198"/>
    </x:row>
    <x:row r="3">
      <x:c r="A3" s="199" t="str">
        <x:v>2022–2025 FBI IC3 outcomes with one-year-lagged ACS characteristics; N = 204 state-year observations</x:v>
      </x:c>
      <x:c r="B3" s="199"/>
      <x:c r="C3" s="199"/>
      <x:c r="D3" s="199"/>
      <x:c r="E3" s="199"/>
      <x:c r="F3" s="199"/>
      <x:c r="G3" s="199"/>
      <x:c r="H3" s="199"/>
      <x:c r="I3" s="199"/>
      <x:c r="J3" s="199"/>
      <x:c r="K3" s="199"/>
      <x:c r="L3" s="199"/>
      <x:c r="M3" s="199"/>
      <x:c r="N3" s="199"/>
    </x:row>
    <x:row r="5">
      <x:c r="A5" s="222" t="str">
        <x:v>National state-table trend</x:v>
      </x:c>
      <x:c r="B5" s="222"/>
      <x:c r="C5" s="222"/>
      <x:c r="D5" s="222"/>
      <x:c r="E5" s="222"/>
      <x:c r="H5" s="227" t="str">
        <x:v>What the stronger design changes</x:v>
      </x:c>
      <x:c r="I5" s="227"/>
      <x:c r="J5" s="227"/>
      <x:c r="K5" s="227"/>
      <x:c r="L5" s="227"/>
      <x:c r="M5" s="227"/>
      <x:c r="N5" s="227"/>
    </x:row>
    <x:row r="6">
      <x:c r="A6" s="316" t="str">
        <x:v>Year</x:v>
      </x:c>
      <x:c r="B6" s="316" t="str">
        <x:v>Complaints</x:v>
      </x:c>
      <x:c r="C6" s="316" t="str">
        <x:v>Reported loss</x:v>
      </x:c>
      <x:c r="D6" s="316" t="str">
        <x:v>Loss per capita</x:v>
      </x:c>
      <x:c r="E6" s="316" t="str">
        <x:v>Complaints per 100k</x:v>
      </x:c>
      <x:c r="H6" s="246" t="str">
        <x:v>1. Between-state result: richer states consistently report higher losses. The pooled income elasticity for loss per capita is 1.55 (p &lt; 0.001).
2. Within-state result: after state and year fixed effects, income is positive but imprecise (2.19; p = 0.28). Four years provide limited within-state variation.
3. Robustness: excluding D.C. leaves a positive income elasticity of 0.89 (p &lt; 0.001); winsorizing tails gives 1.18 (p &lt; 0.001).
4. Conclusion: the evidence supports a robust geographic association, not a causal claim that income growth produces fraud losses.</x:v>
      </x:c>
      <x:c r="I6" s="247"/>
      <x:c r="J6" s="247"/>
      <x:c r="K6" s="247"/>
      <x:c r="L6" s="247"/>
      <x:c r="M6" s="247"/>
      <x:c r="N6" s="248"/>
    </x:row>
    <x:row r="7">
      <x:c r="A7" t="n">
        <x:v>2022</x:v>
      </x:c>
      <x:c r="B7" s="70" t="n">
        <x:v>472408</x:v>
      </x:c>
      <x:c r="C7" s="317" t="n">
        <x:v>9461833273</x:v>
      </x:c>
      <x:c r="D7" s="225" t="n">
        <x:v>28.508621857275436</x:v>
      </x:c>
      <x:c r="E7" s="318" t="n">
        <x:v>142.3371205745381</x:v>
      </x:c>
      <x:c r="H7" s="249"/>
      <x:c r="I7" s="250"/>
      <x:c r="J7" s="250"/>
      <x:c r="K7" s="250"/>
      <x:c r="L7" s="250"/>
      <x:c r="M7" s="250"/>
      <x:c r="N7" s="251"/>
    </x:row>
    <x:row r="8">
      <x:c r="A8" t="n">
        <x:v>2023</x:v>
      </x:c>
      <x:c r="B8" s="70" t="n">
        <x:v>513771</x:v>
      </x:c>
      <x:c r="C8" s="317" t="n">
        <x:v>10887018426</x:v>
      </x:c>
      <x:c r="D8" s="225" t="n">
        <x:v>32.66554071405761</x:v>
      </x:c>
      <x:c r="E8" s="318" t="n">
        <x:v>154.15246729189371</x:v>
      </x:c>
      <x:c r="H8" s="249"/>
      <x:c r="I8" s="250"/>
      <x:c r="J8" s="250"/>
      <x:c r="K8" s="250"/>
      <x:c r="L8" s="250"/>
      <x:c r="M8" s="250"/>
      <x:c r="N8" s="251"/>
    </x:row>
    <x:row r="9">
      <x:c r="A9" t="n">
        <x:v>2024</x:v>
      </x:c>
      <x:c r="B9" s="70" t="n">
        <x:v>692810</x:v>
      </x:c>
      <x:c r="C9" s="317" t="n">
        <x:v>13561130124</x:v>
      </x:c>
      <x:c r="D9" s="225" t="n">
        <x:v>40.49127192001636</x:v>
      </x:c>
      <x:c r="E9" s="318" t="n">
        <x:v>206.86150669153875</x:v>
      </x:c>
      <x:c r="H9" s="249"/>
      <x:c r="I9" s="250"/>
      <x:c r="J9" s="250"/>
      <x:c r="K9" s="250"/>
      <x:c r="L9" s="250"/>
      <x:c r="M9" s="250"/>
      <x:c r="N9" s="251"/>
    </x:row>
    <x:row r="10">
      <x:c r="A10" t="n">
        <x:v>2025</x:v>
      </x:c>
      <x:c r="B10" s="70" t="n">
        <x:v>915490</x:v>
      </x:c>
      <x:c r="C10" s="317" t="n">
        <x:v>18873969353</x:v>
      </x:c>
      <x:c r="D10" s="225" t="n">
        <x:v>55.4935591849002</x:v>
      </x:c>
      <x:c r="E10" s="318" t="n">
        <x:v>269.17389526283756</x:v>
      </x:c>
      <x:c r="H10" s="249"/>
      <x:c r="I10" s="250"/>
      <x:c r="J10" s="250"/>
      <x:c r="K10" s="250"/>
      <x:c r="L10" s="250"/>
      <x:c r="M10" s="250"/>
      <x:c r="N10" s="251"/>
    </x:row>
    <x:row r="11">
      <x:c r="H11" s="249"/>
      <x:c r="I11" s="250"/>
      <x:c r="J11" s="250"/>
      <x:c r="K11" s="250"/>
      <x:c r="L11" s="250"/>
      <x:c r="M11" s="250"/>
      <x:c r="N11" s="251"/>
    </x:row>
    <x:row r="12">
      <x:c r="H12" s="249"/>
      <x:c r="I12" s="250"/>
      <x:c r="J12" s="250"/>
      <x:c r="K12" s="250"/>
      <x:c r="L12" s="250"/>
      <x:c r="M12" s="250"/>
      <x:c r="N12" s="251"/>
    </x:row>
    <x:row r="13">
      <x:c r="H13" s="249"/>
      <x:c r="I13" s="250"/>
      <x:c r="J13" s="250"/>
      <x:c r="K13" s="250"/>
      <x:c r="L13" s="250"/>
      <x:c r="M13" s="250"/>
      <x:c r="N13" s="251"/>
    </x:row>
    <x:row r="14">
      <x:c r="H14" s="252"/>
      <x:c r="I14" s="253"/>
      <x:c r="J14" s="253"/>
      <x:c r="K14" s="253"/>
      <x:c r="L14" s="253"/>
      <x:c r="M14" s="253"/>
      <x:c r="N14" s="254"/>
    </x:row>
    <x:row r="16">
      <x:c r="H16" s="36" t="str">
        <x:v>Regional loss per capita</x:v>
      </x:c>
      <x:c r="I16" s="36"/>
      <x:c r="J16" s="36"/>
      <x:c r="K16" s="36"/>
      <x:c r="L16" s="36"/>
      <x:c r="M16" s="36"/>
      <x:c r="N16" s="36"/>
    </x:row>
    <x:row r="17">
      <x:c r="H17" s="224" t="str">
        <x:v>Year</x:v>
      </x:c>
      <x:c r="I17" s="224" t="str">
        <x:v>Region</x:v>
      </x:c>
      <x:c r="J17" s="224" t="str">
        <x:v>Loss per capita</x:v>
      </x:c>
    </x:row>
    <x:row r="18">
      <x:c r="H18" t="n">
        <x:v>2022</x:v>
      </x:c>
      <x:c r="I18" t="str">
        <x:v>Midwest</x:v>
      </x:c>
      <x:c r="J18" s="225" t="n">
        <x:v>17.74210174905686</x:v>
      </x:c>
    </x:row>
    <x:row r="19">
      <x:c r="H19" t="n">
        <x:v>2022</x:v>
      </x:c>
      <x:c r="I19" t="str">
        <x:v>Northeast</x:v>
      </x:c>
      <x:c r="J19" s="225" t="n">
        <x:v>30.21266853485484</x:v>
      </x:c>
    </x:row>
    <x:row r="20">
      <x:c r="H20" t="n">
        <x:v>2022</x:v>
      </x:c>
      <x:c r="I20" t="str">
        <x:v>South</x:v>
      </x:c>
      <x:c r="J20" s="225" t="n">
        <x:v>26.23693065867411</x:v>
      </x:c>
    </x:row>
    <x:row r="21">
      <x:c r="H21" t="n">
        <x:v>2022</x:v>
      </x:c>
      <x:c r="I21" t="str">
        <x:v>West</x:v>
      </x:c>
      <x:c r="J21" s="225" t="n">
        <x:v>40.36613301559963</x:v>
      </x:c>
    </x:row>
    <x:row r="22">
      <x:c r="H22" t="n">
        <x:v>2023</x:v>
      </x:c>
      <x:c r="I22" t="str">
        <x:v>Midwest</x:v>
      </x:c>
      <x:c r="J22" s="225" t="n">
        <x:v>22.56556196174892</x:v>
      </x:c>
    </x:row>
    <x:row r="23">
      <x:c r="H23" t="n">
        <x:v>2023</x:v>
      </x:c>
      <x:c r="I23" t="str">
        <x:v>Northeast</x:v>
      </x:c>
      <x:c r="J23" s="225" t="n">
        <x:v>34.96908424880426</x:v>
      </x:c>
    </x:row>
    <x:row r="24">
      <x:c r="H24" t="n">
        <x:v>2023</x:v>
      </x:c>
      <x:c r="I24" t="str">
        <x:v>South</x:v>
      </x:c>
      <x:c r="J24" s="225" t="n">
        <x:v>28.529121409993234</x:v>
      </x:c>
    </x:row>
    <x:row r="25">
      <x:c r="H25" t="n">
        <x:v>2023</x:v>
      </x:c>
      <x:c r="I25" t="str">
        <x:v>West</x:v>
      </x:c>
      <x:c r="J25" s="225" t="n">
        <x:v>46.58141026334613</x:v>
      </x:c>
    </x:row>
    <x:row r="26">
      <x:c r="H26" t="n">
        <x:v>2024</x:v>
      </x:c>
      <x:c r="I26" t="str">
        <x:v>Midwest</x:v>
      </x:c>
      <x:c r="J26" s="225" t="n">
        <x:v>27.973765436308987</x:v>
      </x:c>
    </x:row>
    <x:row r="27">
      <x:c r="H27" t="n">
        <x:v>2024</x:v>
      </x:c>
      <x:c r="I27" t="str">
        <x:v>Northeast</x:v>
      </x:c>
      <x:c r="J27" s="225" t="n">
        <x:v>41.07888811074964</x:v>
      </x:c>
    </x:row>
    <x:row r="28">
      <x:c r="H28" t="n">
        <x:v>2024</x:v>
      </x:c>
      <x:c r="I28" t="str">
        <x:v>South</x:v>
      </x:c>
      <x:c r="J28" s="225" t="n">
        <x:v>37.73954826921039</x:v>
      </x:c>
    </x:row>
    <x:row r="29">
      <x:c r="H29" t="n">
        <x:v>2024</x:v>
      </x:c>
      <x:c r="I29" t="str">
        <x:v>West</x:v>
      </x:c>
      <x:c r="J29" s="225" t="n">
        <x:v>55.53822863929661</x:v>
      </x:c>
    </x:row>
    <x:row r="30">
      <x:c r="A30" s="257" t="str">
        <x:v>Identification verdict: adding years improves power and lets the project separate permanent geographic differences from changes within a state. The fixed-effects model does not confirm a causal income effect, so the paper treats income as a marker of target value and correlated state characteristics.</x:v>
      </x:c>
      <x:c r="B30" s="257"/>
      <x:c r="C30" s="257"/>
      <x:c r="D30" s="257"/>
      <x:c r="E30" s="257"/>
      <x:c r="F30" s="257"/>
      <x:c r="G30" s="257"/>
      <x:c r="H30" s="257" t="n">
        <x:v>2025</x:v>
      </x:c>
      <x:c r="I30" s="257" t="str">
        <x:v>Midwest</x:v>
      </x:c>
      <x:c r="J30" s="322" t="n">
        <x:v>38.10106403927721</x:v>
      </x:c>
      <x:c r="K30" s="257"/>
      <x:c r="L30" s="257"/>
      <x:c r="M30" s="257"/>
      <x:c r="N30" s="257"/>
    </x:row>
    <x:row r="31">
      <x:c r="A31" s="257"/>
      <x:c r="B31" s="257"/>
      <x:c r="C31" s="257"/>
      <x:c r="D31" s="257"/>
      <x:c r="E31" s="257"/>
      <x:c r="F31" s="257"/>
      <x:c r="G31" s="257"/>
      <x:c r="H31" s="257" t="n">
        <x:v>2025</x:v>
      </x:c>
      <x:c r="I31" s="257" t="str">
        <x:v>Northeast</x:v>
      </x:c>
      <x:c r="J31" s="322" t="n">
        <x:v>56.52968852436764</x:v>
      </x:c>
      <x:c r="K31" s="257"/>
      <x:c r="L31" s="257"/>
      <x:c r="M31" s="257"/>
      <x:c r="N31" s="257"/>
    </x:row>
    <x:row r="32">
      <x:c r="A32" s="257"/>
      <x:c r="B32" s="257"/>
      <x:c r="C32" s="257"/>
      <x:c r="D32" s="257"/>
      <x:c r="E32" s="257"/>
      <x:c r="F32" s="257"/>
      <x:c r="G32" s="257"/>
      <x:c r="H32" s="257" t="n">
        <x:v>2025</x:v>
      </x:c>
      <x:c r="I32" s="257" t="str">
        <x:v>South</x:v>
      </x:c>
      <x:c r="J32" s="322" t="n">
        <x:v>50.83281948408471</x:v>
      </x:c>
      <x:c r="K32" s="257"/>
      <x:c r="L32" s="257"/>
      <x:c r="M32" s="257"/>
      <x:c r="N32" s="257"/>
    </x:row>
    <x:row r="33">
      <x:c r="A33" s="257"/>
      <x:c r="B33" s="257"/>
      <x:c r="C33" s="257"/>
      <x:c r="D33" s="257"/>
      <x:c r="E33" s="257"/>
      <x:c r="F33" s="257"/>
      <x:c r="G33" s="257"/>
      <x:c r="H33" s="257" t="n">
        <x:v>2025</x:v>
      </x:c>
      <x:c r="I33" s="257" t="str">
        <x:v>West</x:v>
      </x:c>
      <x:c r="J33" s="322" t="n">
        <x:v>77.59990114199603</x:v>
      </x:c>
      <x:c r="K33" s="257"/>
      <x:c r="L33" s="257"/>
      <x:c r="M33" s="257"/>
      <x:c r="N33" s="257"/>
    </x:row>
  </x:sheetData>
  <x:mergeCells>
    <x:mergeCell ref="A1:N2"/>
    <x:mergeCell ref="A3:N3"/>
    <x:mergeCell ref="A5:E5"/>
    <x:mergeCell ref="H5:N5"/>
    <x:mergeCell ref="H6:N14"/>
    <x:mergeCell ref="H16:N16"/>
    <x:mergeCell ref="A30:N33"/>
  </x:mergeCells>
  <x:pageMargins left="0.7" right="0.7" top="0.75" bottom="0.75" header="0.3" footer="0.3"/>
  <x:drawing xmlns:r="http://schemas.openxmlformats.org/officeDocument/2006/relationships" r:id="Ra29926aca0334437"/>
</x:worksheet>
</file>

<file path=xl/worksheets/sheet8.xml><?xml version="1.0" encoding="utf-8"?>
<x:worksheet xmlns:x="http://schemas.openxmlformats.org/spreadsheetml/2006/main">
  <x:sheetViews>
    <x:sheetView showGridLines="0" workbookViewId="0"/>
  </x:sheetViews>
  <x:sheetFormatPr defaultRowHeight="15"/>
  <x:cols>
    <x:col min="1" max="1" width="4" hidden="0" customWidth="1"/>
    <x:col min="2" max="2" width="22" hidden="0" customWidth="1"/>
    <x:col min="3" max="3" width="7.380000114440918" hidden="0" customWidth="1"/>
    <x:col min="4" max="4" width="7.25" hidden="0" customWidth="1"/>
    <x:col min="5" max="5" width="8.880000114440918" hidden="0" customWidth="1"/>
    <x:col min="6" max="6" width="12.380000114440918" hidden="0" customWidth="1"/>
    <x:col min="7" max="7" width="11.25" hidden="0" customWidth="1"/>
    <x:col min="8" max="8" width="19.75" hidden="0" customWidth="1"/>
    <x:col min="9" max="9" width="9.130000114440918" hidden="0" customWidth="1"/>
    <x:col min="10" max="10" width="11" hidden="0" customWidth="1"/>
    <x:col min="11" max="11" width="16.25" hidden="0" customWidth="1"/>
    <x:col min="12" max="12" width="11.75" hidden="0" customWidth="1"/>
    <x:col min="13" max="13" width="14.75" hidden="0" customWidth="1"/>
    <x:col min="14" max="14" width="38" hidden="0" customWidth="1"/>
    <x:col min="15" max="15" width="38" hidden="0" customWidth="1"/>
  </x:cols>
  <x:sheetData>
    <x:row r="1">
      <x:c r="A1" s="173" t="str">
        <x:v>Year</x:v>
      </x:c>
      <x:c r="B1" s="173" t="str">
        <x:v>State</x:v>
      </x:c>
      <x:c r="C1" s="173" t="str">
        <x:v>Region</x:v>
      </x:c>
      <x:c r="D1" s="173" t="str">
        <x:v>ACS year</x:v>
      </x:c>
      <x:c r="E1" s="173" t="str">
        <x:v>Population</x:v>
      </x:c>
      <x:c r="F1" s="173" t="str">
        <x:v>Median income</x:v>
      </x:c>
      <x:c r="G1" s="173" t="str">
        <x:v>Age 65+ share</x:v>
      </x:c>
      <x:c r="H1" s="173" t="str">
        <x:v>Internet household share</x:v>
      </x:c>
      <x:c r="I1" s="173" t="str">
        <x:v>Complaints</x:v>
      </x:c>
      <x:c r="J1" s="173" t="str">
        <x:v>Reported loss</x:v>
      </x:c>
      <x:c r="K1" s="173" t="str">
        <x:v>Complaints per 100k</x:v>
      </x:c>
      <x:c r="L1" s="173" t="str">
        <x:v>Loss per capita</x:v>
      </x:c>
      <x:c r="M1" s="173" t="str">
        <x:v>Loss per complaint</x:v>
      </x:c>
      <x:c r="N1" s="173" t="str">
        <x:v>IC3 report</x:v>
      </x:c>
      <x:c r="O1" s="173" t="str">
        <x:v>ACS source</x:v>
      </x:c>
    </x:row>
    <x:row r="2">
      <x:c r="A2" s="298" t="n">
        <x:v>2022</x:v>
      </x:c>
      <x:c r="B2" s="298" t="str">
        <x:v>Alabama</x:v>
      </x:c>
      <x:c r="C2" s="298" t="str">
        <x:v>South</x:v>
      </x:c>
      <x:c r="D2" s="298" t="n">
        <x:v>2021</x:v>
      </x:c>
      <x:c r="E2" s="301" t="n">
        <x:v>5039877</x:v>
      </x:c>
      <x:c r="F2" s="304" t="n">
        <x:v>53913</x:v>
      </x:c>
      <x:c r="G2" s="307" t="n">
        <x:v>0.1757600433502643</x:v>
      </x:c>
      <x:c r="H2" s="307" t="n">
        <x:v>0.8533904192961939</x:v>
      </x:c>
      <x:c r="I2" s="301" t="n">
        <x:v>4893</x:v>
      </x:c>
      <x:c r="J2" s="301" t="n">
        <x:v>247930058</x:v>
      </x:c>
      <x:c r="K2" s="310" t="n">
        <x:f>I2/E2*100000</x:f>
        <x:v>97.08570268679176</x:v>
      </x:c>
      <x:c r="L2" s="313" t="n">
        <x:f>J2/E2</x:f>
        <x:v>49.19367238525861</x:v>
      </x:c>
      <x:c r="M2" s="304" t="n">
        <x:f>J2/I2</x:f>
        <x:v>50670.35724504394</x:v>
      </x:c>
      <x:c r="N2" s="298" t="str">
        <x:v>https://www.ic3.gov/AnnualReport/Reports/2022_IC3Report.pdf</x:v>
      </x:c>
      <x:c r="O2" s="298" t="str">
        <x:v>https://www.census.gov/programs-surveys/acs/data/summary-file.2021.html</x:v>
      </x:c>
    </x:row>
    <x:row r="3">
      <x:c r="A3" s="299" t="n">
        <x:v>2022</x:v>
      </x:c>
      <x:c r="B3" s="299" t="str">
        <x:v>Alaska</x:v>
      </x:c>
      <x:c r="C3" s="299" t="str">
        <x:v>West</x:v>
      </x:c>
      <x:c r="D3" s="299" t="n">
        <x:v>2021</x:v>
      </x:c>
      <x:c r="E3" s="302" t="n">
        <x:v>732673</x:v>
      </x:c>
      <x:c r="F3" s="305" t="n">
        <x:v>77845</x:v>
      </x:c>
      <x:c r="G3" s="308" t="n">
        <x:v>0.1343164003586866</x:v>
      </x:c>
      <x:c r="H3" s="308" t="n">
        <x:v>0.9084224377190752</x:v>
      </x:c>
      <x:c r="I3" s="302" t="n">
        <x:v>1539</x:v>
      </x:c>
      <x:c r="J3" s="302" t="n">
        <x:v>16826999</x:v>
      </x:c>
      <x:c r="K3" s="311" t="n">
        <x:f>I3/E3*100000</x:f>
        <x:v>210.05277934358168</x:v>
      </x:c>
      <x:c r="L3" s="314" t="n">
        <x:f>J3/E3</x:f>
        <x:v>22.966588095917277</x:v>
      </x:c>
      <x:c r="M3" s="305" t="n">
        <x:f>J3/I3</x:f>
        <x:v>10933.722547108511</x:v>
      </x:c>
      <x:c r="N3" s="299" t="str">
        <x:v>https://www.ic3.gov/AnnualReport/Reports/2022_IC3Report.pdf</x:v>
      </x:c>
      <x:c r="O3" s="299" t="str">
        <x:v>https://www.census.gov/programs-surveys/acs/data/summary-file.2021.html</x:v>
      </x:c>
    </x:row>
    <x:row r="4">
      <x:c r="A4" s="299" t="n">
        <x:v>2022</x:v>
      </x:c>
      <x:c r="B4" s="299" t="str">
        <x:v>Arizona</x:v>
      </x:c>
      <x:c r="C4" s="299" t="str">
        <x:v>West</x:v>
      </x:c>
      <x:c r="D4" s="299" t="n">
        <x:v>2021</x:v>
      </x:c>
      <x:c r="E4" s="302" t="n">
        <x:v>7276316</x:v>
      </x:c>
      <x:c r="F4" s="305" t="n">
        <x:v>69056</x:v>
      </x:c>
      <x:c r="G4" s="308" t="n">
        <x:v>0.18333247209164638</x:v>
      </x:c>
      <x:c r="H4" s="308" t="n">
        <x:v>0.9158973398023865</x:v>
      </x:c>
      <x:c r="I4" s="302" t="n">
        <x:v>12112</x:v>
      </x:c>
      <x:c r="J4" s="302" t="n">
        <x:v>241191959</x:v>
      </x:c>
      <x:c r="K4" s="311" t="n">
        <x:f>I4/E4*100000</x:f>
        <x:v>166.4578613683078</x:v>
      </x:c>
      <x:c r="L4" s="314" t="n">
        <x:f>J4/E4</x:f>
        <x:v>33.14753771001699</x:v>
      </x:c>
      <x:c r="M4" s="305" t="n">
        <x:f>J4/I4</x:f>
        <x:v>19913.470855350068</x:v>
      </x:c>
      <x:c r="N4" s="299" t="str">
        <x:v>https://www.ic3.gov/AnnualReport/Reports/2022_IC3Report.pdf</x:v>
      </x:c>
      <x:c r="O4" s="299" t="str">
        <x:v>https://www.census.gov/programs-surveys/acs/data/summary-file.2021.html</x:v>
      </x:c>
    </x:row>
    <x:row r="5">
      <x:c r="A5" s="299" t="n">
        <x:v>2022</x:v>
      </x:c>
      <x:c r="B5" s="299" t="str">
        <x:v>Arkansas</x:v>
      </x:c>
      <x:c r="C5" s="299" t="str">
        <x:v>South</x:v>
      </x:c>
      <x:c r="D5" s="299" t="n">
        <x:v>2021</x:v>
      </x:c>
      <x:c r="E5" s="302" t="n">
        <x:v>3025891</x:v>
      </x:c>
      <x:c r="F5" s="305" t="n">
        <x:v>52528</x:v>
      </x:c>
      <x:c r="G5" s="308" t="n">
        <x:v>0.17355317822089428</x:v>
      </x:c>
      <x:c r="H5" s="308" t="n">
        <x:v>0.8569742539126026</x:v>
      </x:c>
      <x:c r="I5" s="302" t="n">
        <x:v>2887</x:v>
      </x:c>
      <x:c r="J5" s="302" t="n">
        <x:v>46230114</x:v>
      </x:c>
      <x:c r="K5" s="311" t="n">
        <x:f>I5/E5*100000</x:f>
        <x:v>95.40991397244646</x:v>
      </x:c>
      <x:c r="L5" s="314" t="n">
        <x:f>J5/E5</x:f>
        <x:v>15.278182194930352</x:v>
      </x:c>
      <x:c r="M5" s="305" t="n">
        <x:f>J5/I5</x:f>
        <x:v>16013.201939729823</x:v>
      </x:c>
      <x:c r="N5" s="299" t="str">
        <x:v>https://www.ic3.gov/AnnualReport/Reports/2022_IC3Report.pdf</x:v>
      </x:c>
      <x:c r="O5" s="299" t="str">
        <x:v>https://www.census.gov/programs-surveys/acs/data/summary-file.2021.html</x:v>
      </x:c>
    </x:row>
    <x:row r="6">
      <x:c r="A6" s="299" t="n">
        <x:v>2022</x:v>
      </x:c>
      <x:c r="B6" s="299" t="str">
        <x:v>California</x:v>
      </x:c>
      <x:c r="C6" s="299" t="str">
        <x:v>West</x:v>
      </x:c>
      <x:c r="D6" s="299" t="n">
        <x:v>2021</x:v>
      </x:c>
      <x:c r="E6" s="302" t="n">
        <x:v>39237836</x:v>
      </x:c>
      <x:c r="F6" s="305" t="n">
        <x:v>84907</x:v>
      </x:c>
      <x:c r="G6" s="308" t="n">
        <x:v>0.1520095552670132</x:v>
      </x:c>
      <x:c r="H6" s="308" t="n">
        <x:v>0.9302732439336981</x:v>
      </x:c>
      <x:c r="I6" s="302" t="n">
        <x:v>80766</x:v>
      </x:c>
      <x:c r="J6" s="302" t="n">
        <x:v>2012806866</x:v>
      </x:c>
      <x:c r="K6" s="311" t="n">
        <x:f>I6/E6*100000</x:f>
        <x:v>205.8370395350039</x:v>
      </x:c>
      <x:c r="L6" s="314" t="n">
        <x:f>J6/E6</x:f>
        <x:v>51.29760127444337</x:v>
      </x:c>
      <x:c r="M6" s="305" t="n">
        <x:f>J6/I6</x:f>
        <x:v>24921.46281851274</x:v>
      </x:c>
      <x:c r="N6" s="299" t="str">
        <x:v>https://www.ic3.gov/AnnualReport/Reports/2022_IC3Report.pdf</x:v>
      </x:c>
      <x:c r="O6" s="299" t="str">
        <x:v>https://www.census.gov/programs-surveys/acs/data/summary-file.2021.html</x:v>
      </x:c>
    </x:row>
    <x:row r="7">
      <x:c r="A7" s="299" t="n">
        <x:v>2022</x:v>
      </x:c>
      <x:c r="B7" s="299" t="str">
        <x:v>Colorado</x:v>
      </x:c>
      <x:c r="C7" s="299" t="str">
        <x:v>West</x:v>
      </x:c>
      <x:c r="D7" s="299" t="n">
        <x:v>2021</x:v>
      </x:c>
      <x:c r="E7" s="302" t="n">
        <x:v>5812069</x:v>
      </x:c>
      <x:c r="F7" s="305" t="n">
        <x:v>82254</x:v>
      </x:c>
      <x:c r="G7" s="308" t="n">
        <x:v>0.15143780984017913</x:v>
      </x:c>
      <x:c r="H7" s="308" t="n">
        <x:v>0.9317292984736119</x:v>
      </x:c>
      <x:c r="I7" s="302" t="n">
        <x:v>11683</x:v>
      </x:c>
      <x:c r="J7" s="302" t="n">
        <x:v>178389862</x:v>
      </x:c>
      <x:c r="K7" s="311" t="n">
        <x:f>I7/E7*100000</x:f>
        <x:v>201.01275466619543</x:v>
      </x:c>
      <x:c r="L7" s="314" t="n">
        <x:f>J7/E7</x:f>
        <x:v>30.693004849047732</x:v>
      </x:c>
      <x:c r="M7" s="305" t="n">
        <x:f>J7/I7</x:f>
        <x:v>15269.182744158179</x:v>
      </x:c>
      <x:c r="N7" s="299" t="str">
        <x:v>https://www.ic3.gov/AnnualReport/Reports/2022_IC3Report.pdf</x:v>
      </x:c>
      <x:c r="O7" s="299" t="str">
        <x:v>https://www.census.gov/programs-surveys/acs/data/summary-file.2021.html</x:v>
      </x:c>
    </x:row>
    <x:row r="8">
      <x:c r="A8" s="299" t="n">
        <x:v>2022</x:v>
      </x:c>
      <x:c r="B8" s="299" t="str">
        <x:v>Connecticut</x:v>
      </x:c>
      <x:c r="C8" s="299" t="str">
        <x:v>Northeast</x:v>
      </x:c>
      <x:c r="D8" s="299" t="n">
        <x:v>2021</x:v>
      </x:c>
      <x:c r="E8" s="302" t="n">
        <x:v>3605597</x:v>
      </x:c>
      <x:c r="F8" s="305" t="n">
        <x:v>83771</x:v>
      </x:c>
      <x:c r="G8" s="308" t="n">
        <x:v>0.18004563460641884</x:v>
      </x:c>
      <x:c r="H8" s="308" t="n">
        <x:v>0.9228467429758043</x:v>
      </x:c>
      <x:c r="I8" s="302" t="n">
        <x:v>4683</x:v>
      </x:c>
      <x:c r="J8" s="302" t="n">
        <x:v>99937935</x:v>
      </x:c>
      <x:c r="K8" s="311" t="n">
        <x:f>I8/E8*100000</x:f>
        <x:v>129.88140382854766</x:v>
      </x:c>
      <x:c r="L8" s="314" t="n">
        <x:f>J8/E8</x:f>
        <x:v>27.717444572979176</x:v>
      </x:c>
      <x:c r="M8" s="305" t="n">
        <x:f>J8/I8</x:f>
        <x:v>21340.579756566305</x:v>
      </x:c>
      <x:c r="N8" s="299" t="str">
        <x:v>https://www.ic3.gov/AnnualReport/Reports/2022_IC3Report.pdf</x:v>
      </x:c>
      <x:c r="O8" s="299" t="str">
        <x:v>https://www.census.gov/programs-surveys/acs/data/summary-file.2021.html</x:v>
      </x:c>
    </x:row>
    <x:row r="9">
      <x:c r="A9" s="299" t="n">
        <x:v>2022</x:v>
      </x:c>
      <x:c r="B9" s="299" t="str">
        <x:v>Delaware</x:v>
      </x:c>
      <x:c r="C9" s="299" t="str">
        <x:v>South</x:v>
      </x:c>
      <x:c r="D9" s="299" t="n">
        <x:v>2021</x:v>
      </x:c>
      <x:c r="E9" s="302" t="n">
        <x:v>1003384</x:v>
      </x:c>
      <x:c r="F9" s="305" t="n">
        <x:v>71091</x:v>
      </x:c>
      <x:c r="G9" s="308" t="n">
        <x:v>0.20087125168430034</x:v>
      </x:c>
      <x:c r="H9" s="308" t="n">
        <x:v>0.920673514366015</x:v>
      </x:c>
      <x:c r="I9" s="302" t="n">
        <x:v>2327</x:v>
      </x:c>
      <x:c r="J9" s="302" t="n">
        <x:v>40980800</x:v>
      </x:c>
      <x:c r="K9" s="311" t="n">
        <x:f>I9/E9*100000</x:f>
        <x:v>231.9151989666967</x:v>
      </x:c>
      <x:c r="L9" s="314" t="n">
        <x:f>J9/E9</x:f>
        <x:v>40.842588679907195</x:v>
      </x:c>
      <x:c r="M9" s="305" t="n">
        <x:f>J9/I9</x:f>
        <x:v>17611.00128921358</x:v>
      </x:c>
      <x:c r="N9" s="299" t="str">
        <x:v>https://www.ic3.gov/AnnualReport/Reports/2022_IC3Report.pdf</x:v>
      </x:c>
      <x:c r="O9" s="299" t="str">
        <x:v>https://www.census.gov/programs-surveys/acs/data/summary-file.2021.html</x:v>
      </x:c>
    </x:row>
    <x:row r="10">
      <x:c r="A10" s="299" t="n">
        <x:v>2022</x:v>
      </x:c>
      <x:c r="B10" s="299" t="str">
        <x:v>District of Columbia</x:v>
      </x:c>
      <x:c r="C10" s="299" t="str">
        <x:v>South</x:v>
      </x:c>
      <x:c r="D10" s="299" t="n">
        <x:v>2021</x:v>
      </x:c>
      <x:c r="E10" s="302" t="n">
        <x:v>670050</x:v>
      </x:c>
      <x:c r="F10" s="305" t="n">
        <x:v>90088</x:v>
      </x:c>
      <x:c r="G10" s="308" t="n">
        <x:v>0.12777404671293188</x:v>
      </x:c>
      <x:c r="H10" s="308" t="n">
        <x:v>0.9021388449924116</x:v>
      </x:c>
      <x:c r="I10" s="302" t="n">
        <x:v>2460</x:v>
      </x:c>
      <x:c r="J10" s="302" t="n">
        <x:v>33668057</x:v>
      </x:c>
      <x:c r="K10" s="311" t="n">
        <x:f>I10/E10*100000</x:f>
        <x:v>367.13678083725097</x:v>
      </x:c>
      <x:c r="L10" s="314" t="n">
        <x:f>J10/E10</x:f>
        <x:v>50.24708156107753</x:v>
      </x:c>
      <x:c r="M10" s="305" t="n">
        <x:f>J10/I10</x:f>
        <x:v>13686.202032520325</x:v>
      </x:c>
      <x:c r="N10" s="299" t="str">
        <x:v>https://www.ic3.gov/AnnualReport/Reports/2022_IC3Report.pdf</x:v>
      </x:c>
      <x:c r="O10" s="299" t="str">
        <x:v>https://www.census.gov/programs-surveys/acs/data/summary-file.2021.html</x:v>
      </x:c>
    </x:row>
    <x:row r="11">
      <x:c r="A11" s="299" t="n">
        <x:v>2022</x:v>
      </x:c>
      <x:c r="B11" s="299" t="str">
        <x:v>Florida</x:v>
      </x:c>
      <x:c r="C11" s="299" t="str">
        <x:v>South</x:v>
      </x:c>
      <x:c r="D11" s="299" t="n">
        <x:v>2021</x:v>
      </x:c>
      <x:c r="E11" s="302" t="n">
        <x:v>21781128</x:v>
      </x:c>
      <x:c r="F11" s="305" t="n">
        <x:v>63062</x:v>
      </x:c>
      <x:c r="G11" s="308" t="n">
        <x:v>0.21114590575841619</x:v>
      </x:c>
      <x:c r="H11" s="308" t="n">
        <x:v>0.90582276524346</x:v>
      </x:c>
      <x:c r="I11" s="302" t="n">
        <x:v>42792</x:v>
      </x:c>
      <x:c r="J11" s="302" t="n">
        <x:v>844972494</x:v>
      </x:c>
      <x:c r="K11" s="311" t="n">
        <x:f>I11/E11*100000</x:f>
        <x:v>196.46365422396855</x:v>
      </x:c>
      <x:c r="L11" s="314" t="n">
        <x:f>J11/E11</x:f>
        <x:v>38.793789467652914</x:v>
      </x:c>
      <x:c r="M11" s="305" t="n">
        <x:f>J11/I11</x:f>
        <x:v>19746.038839035333</x:v>
      </x:c>
      <x:c r="N11" s="299" t="str">
        <x:v>https://www.ic3.gov/AnnualReport/Reports/2022_IC3Report.pdf</x:v>
      </x:c>
      <x:c r="O11" s="299" t="str">
        <x:v>https://www.census.gov/programs-surveys/acs/data/summary-file.2021.html</x:v>
      </x:c>
    </x:row>
    <x:row r="12">
      <x:c r="A12" s="299" t="n">
        <x:v>2022</x:v>
      </x:c>
      <x:c r="B12" s="299" t="str">
        <x:v>Georgia</x:v>
      </x:c>
      <x:c r="C12" s="299" t="str">
        <x:v>South</x:v>
      </x:c>
      <x:c r="D12" s="299" t="n">
        <x:v>2021</x:v>
      </x:c>
      <x:c r="E12" s="302" t="n">
        <x:v>10799566</x:v>
      </x:c>
      <x:c r="F12" s="305" t="n">
        <x:v>66559</x:v>
      </x:c>
      <x:c r="G12" s="308" t="n">
        <x:v>0.14682877071171194</x:v>
      </x:c>
      <x:c r="H12" s="308" t="n">
        <x:v>0.9005280785902109</x:v>
      </x:c>
      <x:c r="I12" s="302" t="n">
        <x:v>13415</x:v>
      </x:c>
      <x:c r="J12" s="302" t="n">
        <x:v>322638566</x:v>
      </x:c>
      <x:c r="K12" s="311" t="n">
        <x:f>I12/E12*100000</x:f>
        <x:v>124.21795468447527</x:v>
      </x:c>
      <x:c r="L12" s="314" t="n">
        <x:f>J12/E12</x:f>
        <x:v>29.875141834403344</x:v>
      </x:c>
      <x:c r="M12" s="305" t="n">
        <x:f>J12/I12</x:f>
        <x:v>24050.582631382782</x:v>
      </x:c>
      <x:c r="N12" s="299" t="str">
        <x:v>https://www.ic3.gov/AnnualReport/Reports/2022_IC3Report.pdf</x:v>
      </x:c>
      <x:c r="O12" s="299" t="str">
        <x:v>https://www.census.gov/programs-surveys/acs/data/summary-file.2021.html</x:v>
      </x:c>
    </x:row>
    <x:row r="13">
      <x:c r="A13" s="299" t="n">
        <x:v>2022</x:v>
      </x:c>
      <x:c r="B13" s="299" t="str">
        <x:v>Hawaii</x:v>
      </x:c>
      <x:c r="C13" s="299" t="str">
        <x:v>West</x:v>
      </x:c>
      <x:c r="D13" s="299" t="n">
        <x:v>2021</x:v>
      </x:c>
      <x:c r="E13" s="302" t="n">
        <x:v>1441553</x:v>
      </x:c>
      <x:c r="F13" s="305" t="n">
        <x:v>84857</x:v>
      </x:c>
      <x:c r="G13" s="308" t="n">
        <x:v>0.1960156858610124</x:v>
      </x:c>
      <x:c r="H13" s="308" t="n">
        <x:v>0.9167646098596147</x:v>
      </x:c>
      <x:c r="I13" s="302" t="n">
        <x:v>1703</x:v>
      </x:c>
      <x:c r="J13" s="302" t="n">
        <x:v>35776983</x:v>
      </x:c>
      <x:c r="K13" s="311" t="n">
        <x:f>I13/E13*100000</x:f>
        <x:v>118.13648197464818</x:v>
      </x:c>
      <x:c r="L13" s="314" t="n">
        <x:f>J13/E13</x:f>
        <x:v>24.81836117021018</x:v>
      </x:c>
      <x:c r="M13" s="305" t="n">
        <x:f>J13/I13</x:f>
        <x:v>21008.210804462713</x:v>
      </x:c>
      <x:c r="N13" s="299" t="str">
        <x:v>https://www.ic3.gov/AnnualReport/Reports/2022_IC3Report.pdf</x:v>
      </x:c>
      <x:c r="O13" s="299" t="str">
        <x:v>https://www.census.gov/programs-surveys/acs/data/summary-file.2021.html</x:v>
      </x:c>
    </x:row>
    <x:row r="14">
      <x:c r="A14" s="299" t="n">
        <x:v>2022</x:v>
      </x:c>
      <x:c r="B14" s="299" t="str">
        <x:v>Idaho</x:v>
      </x:c>
      <x:c r="C14" s="299" t="str">
        <x:v>West</x:v>
      </x:c>
      <x:c r="D14" s="299" t="n">
        <x:v>2021</x:v>
      </x:c>
      <x:c r="E14" s="302" t="n">
        <x:v>1900923</x:v>
      </x:c>
      <x:c r="F14" s="305" t="n">
        <x:v>66474</x:v>
      </x:c>
      <x:c r="G14" s="308" t="n">
        <x:v>0.16518817437634245</x:v>
      </x:c>
      <x:c r="H14" s="308" t="n">
        <x:v>0.9078229439587711</x:v>
      </x:c>
      <x:c r="I14" s="302" t="n">
        <x:v>2001</x:v>
      </x:c>
      <x:c r="J14" s="302" t="n">
        <x:v>40323594</x:v>
      </x:c>
      <x:c r="K14" s="311" t="n">
        <x:f>I14/E14*100000</x:f>
        <x:v>105.26465301329932</x:v>
      </x:c>
      <x:c r="L14" s="314" t="n">
        <x:f>J14/E14</x:f>
        <x:v>21.212639333628978</x:v>
      </x:c>
      <x:c r="M14" s="305" t="n">
        <x:f>J14/I14</x:f>
        <x:v>20151.721139430283</x:v>
      </x:c>
      <x:c r="N14" s="299" t="str">
        <x:v>https://www.ic3.gov/AnnualReport/Reports/2022_IC3Report.pdf</x:v>
      </x:c>
      <x:c r="O14" s="299" t="str">
        <x:v>https://www.census.gov/programs-surveys/acs/data/summary-file.2021.html</x:v>
      </x:c>
    </x:row>
    <x:row r="15">
      <x:c r="A15" s="299" t="n">
        <x:v>2022</x:v>
      </x:c>
      <x:c r="B15" s="299" t="str">
        <x:v>Illinois</x:v>
      </x:c>
      <x:c r="C15" s="299" t="str">
        <x:v>Midwest</x:v>
      </x:c>
      <x:c r="D15" s="299" t="n">
        <x:v>2021</x:v>
      </x:c>
      <x:c r="E15" s="302" t="n">
        <x:v>12671469</x:v>
      </x:c>
      <x:c r="F15" s="305" t="n">
        <x:v>72205</x:v>
      </x:c>
      <x:c r="G15" s="308" t="n">
        <x:v>0.1659877793174572</x:v>
      </x:c>
      <x:c r="H15" s="308" t="n">
        <x:v>0.8994903679972177</x:v>
      </x:c>
      <x:c r="I15" s="302" t="n">
        <x:v>14786</x:v>
      </x:c>
      <x:c r="J15" s="302" t="n">
        <x:v>266742489</x:v>
      </x:c>
      <x:c r="K15" s="311" t="n">
        <x:f>I15/E15*100000</x:f>
        <x:v>116.6873390922552</x:v>
      </x:c>
      <x:c r="L15" s="314" t="n">
        <x:f>J15/E15</x:f>
        <x:v>21.05063659154278</x:v>
      </x:c>
      <x:c r="M15" s="305" t="n">
        <x:f>J15/I15</x:f>
        <x:v>18040.20620857568</x:v>
      </x:c>
      <x:c r="N15" s="299" t="str">
        <x:v>https://www.ic3.gov/AnnualReport/Reports/2022_IC3Report.pdf</x:v>
      </x:c>
      <x:c r="O15" s="299" t="str">
        <x:v>https://www.census.gov/programs-surveys/acs/data/summary-file.2021.html</x:v>
      </x:c>
    </x:row>
    <x:row r="16">
      <x:c r="A16" s="299" t="n">
        <x:v>2022</x:v>
      </x:c>
      <x:c r="B16" s="299" t="str">
        <x:v>Indiana</x:v>
      </x:c>
      <x:c r="C16" s="299" t="str">
        <x:v>Midwest</x:v>
      </x:c>
      <x:c r="D16" s="299" t="n">
        <x:v>2021</x:v>
      </x:c>
      <x:c r="E16" s="302" t="n">
        <x:v>6805985</x:v>
      </x:c>
      <x:c r="F16" s="305" t="n">
        <x:v>62743</x:v>
      </x:c>
      <x:c r="G16" s="308" t="n">
        <x:v>0.16391146909668475</x:v>
      </x:c>
      <x:c r="H16" s="308" t="n">
        <x:v>0.8951170853517784</x:v>
      </x:c>
      <x:c r="I16" s="302" t="n">
        <x:v>11682</x:v>
      </x:c>
      <x:c r="J16" s="302" t="n">
        <x:v>73678120</x:v>
      </x:c>
      <x:c r="K16" s="311" t="n">
        <x:f>I16/E16*100000</x:f>
        <x:v>171.64304652449277</x:v>
      </x:c>
      <x:c r="L16" s="314" t="n">
        <x:f>J16/E16</x:f>
        <x:v>10.825489624205755</x:v>
      </x:c>
      <x:c r="M16" s="305" t="n">
        <x:f>J16/I16</x:f>
        <x:v>6306.978257147749</x:v>
      </x:c>
      <x:c r="N16" s="299" t="str">
        <x:v>https://www.ic3.gov/AnnualReport/Reports/2022_IC3Report.pdf</x:v>
      </x:c>
      <x:c r="O16" s="299" t="str">
        <x:v>https://www.census.gov/programs-surveys/acs/data/summary-file.2021.html</x:v>
      </x:c>
    </x:row>
    <x:row r="17">
      <x:c r="A17" s="299" t="n">
        <x:v>2022</x:v>
      </x:c>
      <x:c r="B17" s="299" t="str">
        <x:v>Iowa</x:v>
      </x:c>
      <x:c r="C17" s="299" t="str">
        <x:v>Midwest</x:v>
      </x:c>
      <x:c r="D17" s="299" t="n">
        <x:v>2021</x:v>
      </x:c>
      <x:c r="E17" s="302" t="n">
        <x:v>3193079</x:v>
      </x:c>
      <x:c r="F17" s="305" t="n">
        <x:v>65600</x:v>
      </x:c>
      <x:c r="G17" s="308" t="n">
        <x:v>0.1777535100133758</x:v>
      </x:c>
      <x:c r="H17" s="308" t="n">
        <x:v>0.8861524360095259</x:v>
      </x:c>
      <x:c r="I17" s="302" t="n">
        <x:v>2959</x:v>
      </x:c>
      <x:c r="J17" s="302" t="n">
        <x:v>42806846</x:v>
      </x:c>
      <x:c r="K17" s="311" t="n">
        <x:f>I17/E17*100000</x:f>
        <x:v>92.66917605233067</x:v>
      </x:c>
      <x:c r="L17" s="314" t="n">
        <x:f>J17/E17</x:f>
        <x:v>13.406134329905399</x:v>
      </x:c>
      <x:c r="M17" s="305" t="n">
        <x:f>J17/I17</x:f>
        <x:v>14466.65968232511</x:v>
      </x:c>
      <x:c r="N17" s="299" t="str">
        <x:v>https://www.ic3.gov/AnnualReport/Reports/2022_IC3Report.pdf</x:v>
      </x:c>
      <x:c r="O17" s="299" t="str">
        <x:v>https://www.census.gov/programs-surveys/acs/data/summary-file.2021.html</x:v>
      </x:c>
    </x:row>
    <x:row r="18">
      <x:c r="A18" s="299" t="n">
        <x:v>2022</x:v>
      </x:c>
      <x:c r="B18" s="299" t="str">
        <x:v>Kansas</x:v>
      </x:c>
      <x:c r="C18" s="299" t="str">
        <x:v>Midwest</x:v>
      </x:c>
      <x:c r="D18" s="299" t="n">
        <x:v>2021</x:v>
      </x:c>
      <x:c r="E18" s="302" t="n">
        <x:v>2934582</x:v>
      </x:c>
      <x:c r="F18" s="305" t="n">
        <x:v>64124</x:v>
      </x:c>
      <x:c r="G18" s="308" t="n">
        <x:v>0.16686396904226902</x:v>
      </x:c>
      <x:c r="H18" s="308" t="n">
        <x:v>0.9000151851640947</x:v>
      </x:c>
      <x:c r="I18" s="302" t="n">
        <x:v>2399</x:v>
      </x:c>
      <x:c r="J18" s="302" t="n">
        <x:v>58149297</x:v>
      </x:c>
      <x:c r="K18" s="311" t="n">
        <x:f>I18/E18*100000</x:f>
        <x:v>81.74929172195563</x:v>
      </x:c>
      <x:c r="L18" s="314" t="n">
        <x:f>J18/E18</x:f>
        <x:v>19.815189011586657</x:v>
      </x:c>
      <x:c r="M18" s="305" t="n">
        <x:f>J18/I18</x:f>
        <x:v>24238.97332221759</x:v>
      </x:c>
      <x:c r="N18" s="299" t="str">
        <x:v>https://www.ic3.gov/AnnualReport/Reports/2022_IC3Report.pdf</x:v>
      </x:c>
      <x:c r="O18" s="299" t="str">
        <x:v>https://www.census.gov/programs-surveys/acs/data/summary-file.2021.html</x:v>
      </x:c>
    </x:row>
    <x:row r="19">
      <x:c r="A19" s="299" t="n">
        <x:v>2022</x:v>
      </x:c>
      <x:c r="B19" s="299" t="str">
        <x:v>Kentucky</x:v>
      </x:c>
      <x:c r="C19" s="299" t="str">
        <x:v>South</x:v>
      </x:c>
      <x:c r="D19" s="299" t="n">
        <x:v>2021</x:v>
      </x:c>
      <x:c r="E19" s="302" t="n">
        <x:v>4509394</x:v>
      </x:c>
      <x:c r="F19" s="305" t="n">
        <x:v>55573</x:v>
      </x:c>
      <x:c r="G19" s="308" t="n">
        <x:v>0.17040338457894783</x:v>
      </x:c>
      <x:c r="H19" s="308" t="n">
        <x:v>0.8733581903160809</x:v>
      </x:c>
      <x:c r="I19" s="302" t="n">
        <x:v>4256</x:v>
      </x:c>
      <x:c r="J19" s="302" t="n">
        <x:v>57045801</x:v>
      </x:c>
      <x:c r="K19" s="311" t="n">
        <x:f>I19/E19*100000</x:f>
        <x:v>94.380752713114</x:v>
      </x:c>
      <x:c r="L19" s="314" t="n">
        <x:f>J19/E19</x:f>
        <x:v>12.650436178342368</x:v>
      </x:c>
      <x:c r="M19" s="305" t="n">
        <x:f>J19/I19</x:f>
        <x:v>13403.618656015038</x:v>
      </x:c>
      <x:c r="N19" s="299" t="str">
        <x:v>https://www.ic3.gov/AnnualReport/Reports/2022_IC3Report.pdf</x:v>
      </x:c>
      <x:c r="O19" s="299" t="str">
        <x:v>https://www.census.gov/programs-surveys/acs/data/summary-file.2021.html</x:v>
      </x:c>
    </x:row>
    <x:row r="20">
      <x:c r="A20" s="299" t="n">
        <x:v>2022</x:v>
      </x:c>
      <x:c r="B20" s="299" t="str">
        <x:v>Louisiana</x:v>
      </x:c>
      <x:c r="C20" s="299" t="str">
        <x:v>South</x:v>
      </x:c>
      <x:c r="D20" s="299" t="n">
        <x:v>2021</x:v>
      </x:c>
      <x:c r="E20" s="302" t="n">
        <x:v>4624047</x:v>
      </x:c>
      <x:c r="F20" s="305" t="n">
        <x:v>52087</x:v>
      </x:c>
      <x:c r="G20" s="308" t="n">
        <x:v>0.16572712171826973</x:v>
      </x:c>
      <x:c r="H20" s="308" t="n">
        <x:v>0.8553402499209608</x:v>
      </x:c>
      <x:c r="I20" s="302" t="n">
        <x:v>4335</x:v>
      </x:c>
      <x:c r="J20" s="302" t="n">
        <x:v>55696565</x:v>
      </x:c>
      <x:c r="K20" s="311" t="n">
        <x:f>I20/E20*100000</x:f>
        <x:v>93.74904710094859</x:v>
      </x:c>
      <x:c r="L20" s="314" t="n">
        <x:f>J20/E20</x:f>
        <x:v>12.044982458007023</x:v>
      </x:c>
      <x:c r="M20" s="305" t="n">
        <x:f>J20/I20</x:f>
        <x:v>12848.111880046135</x:v>
      </x:c>
      <x:c r="N20" s="299" t="str">
        <x:v>https://www.ic3.gov/AnnualReport/Reports/2022_IC3Report.pdf</x:v>
      </x:c>
      <x:c r="O20" s="299" t="str">
        <x:v>https://www.census.gov/programs-surveys/acs/data/summary-file.2021.html</x:v>
      </x:c>
    </x:row>
    <x:row r="21">
      <x:c r="A21" s="299" t="n">
        <x:v>2022</x:v>
      </x:c>
      <x:c r="B21" s="299" t="str">
        <x:v>Maine</x:v>
      </x:c>
      <x:c r="C21" s="299" t="str">
        <x:v>Northeast</x:v>
      </x:c>
      <x:c r="D21" s="299" t="n">
        <x:v>2021</x:v>
      </x:c>
      <x:c r="E21" s="302" t="n">
        <x:v>1372247</x:v>
      </x:c>
      <x:c r="F21" s="305" t="n">
        <x:v>64767</x:v>
      </x:c>
      <x:c r="G21" s="308" t="n">
        <x:v>0.21650694080584618</x:v>
      </x:c>
      <x:c r="H21" s="308" t="n">
        <x:v>0.9009005670236816</x:v>
      </x:c>
      <x:c r="I21" s="302" t="n">
        <x:v>1435</x:v>
      </x:c>
      <x:c r="J21" s="302" t="n">
        <x:v>21403477</x:v>
      </x:c>
      <x:c r="K21" s="311" t="n">
        <x:f>I21/E21*100000</x:f>
        <x:v>104.57301054402014</x:v>
      </x:c>
      <x:c r="L21" s="314" t="n">
        <x:f>J21/E21</x:f>
        <x:v>15.597393909405522</x:v>
      </x:c>
      <x:c r="M21" s="305" t="n">
        <x:f>J21/I21</x:f>
        <x:v>14915.314982578397</x:v>
      </x:c>
      <x:c r="N21" s="299" t="str">
        <x:v>https://www.ic3.gov/AnnualReport/Reports/2022_IC3Report.pdf</x:v>
      </x:c>
      <x:c r="O21" s="299" t="str">
        <x:v>https://www.census.gov/programs-surveys/acs/data/summary-file.2021.html</x:v>
      </x:c>
    </x:row>
    <x:row r="22">
      <x:c r="A22" s="299" t="n">
        <x:v>2022</x:v>
      </x:c>
      <x:c r="B22" s="299" t="str">
        <x:v>Maryland</x:v>
      </x:c>
      <x:c r="C22" s="299" t="str">
        <x:v>South</x:v>
      </x:c>
      <x:c r="D22" s="299" t="n">
        <x:v>2021</x:v>
      </x:c>
      <x:c r="E22" s="302" t="n">
        <x:v>6165129</x:v>
      </x:c>
      <x:c r="F22" s="305" t="n">
        <x:v>90203</x:v>
      </x:c>
      <x:c r="G22" s="308" t="n">
        <x:v>0.1627513390230764</x:v>
      </x:c>
      <x:c r="H22" s="308" t="n">
        <x:v>0.9192406178841357</x:v>
      </x:c>
      <x:c r="I22" s="302" t="n">
        <x:v>11644</x:v>
      </x:c>
      <x:c r="J22" s="302" t="n">
        <x:v>217880447</x:v>
      </x:c>
      <x:c r="K22" s="311" t="n">
        <x:f>I22/E22*100000</x:f>
        <x:v>188.86871629125685</x:v>
      </x:c>
      <x:c r="L22" s="314" t="n">
        <x:f>J22/E22</x:f>
        <x:v>35.340776648793565</x:v>
      </x:c>
      <x:c r="M22" s="305" t="n">
        <x:f>J22/I22</x:f>
        <x:v>18711.821281346616</x:v>
      </x:c>
      <x:c r="N22" s="299" t="str">
        <x:v>https://www.ic3.gov/AnnualReport/Reports/2022_IC3Report.pdf</x:v>
      </x:c>
      <x:c r="O22" s="299" t="str">
        <x:v>https://www.census.gov/programs-surveys/acs/data/summary-file.2021.html</x:v>
      </x:c>
    </x:row>
    <x:row r="23">
      <x:c r="A23" s="299" t="n">
        <x:v>2022</x:v>
      </x:c>
      <x:c r="B23" s="299" t="str">
        <x:v>Massachusetts</x:v>
      </x:c>
      <x:c r="C23" s="299" t="str">
        <x:v>Northeast</x:v>
      </x:c>
      <x:c r="D23" s="299" t="n">
        <x:v>2021</x:v>
      </x:c>
      <x:c r="E23" s="302" t="n">
        <x:v>6984723</x:v>
      </x:c>
      <x:c r="F23" s="305" t="n">
        <x:v>89645</x:v>
      </x:c>
      <x:c r="G23" s="308" t="n">
        <x:v>0.17415823075589398</x:v>
      </x:c>
      <x:c r="H23" s="308" t="n">
        <x:v>0.9231291713211004</x:v>
      </x:c>
      <x:c r="I23" s="302" t="n">
        <x:v>7805</x:v>
      </x:c>
      <x:c r="J23" s="302" t="n">
        <x:v>226202504</x:v>
      </x:c>
      <x:c r="K23" s="311" t="n">
        <x:f>I23/E23*100000</x:f>
        <x:v>111.74387302116348</x:v>
      </x:c>
      <x:c r="L23" s="314" t="n">
        <x:f>J23/E23</x:f>
        <x:v>32.38532208077543</x:v>
      </x:c>
      <x:c r="M23" s="305" t="n">
        <x:f>J23/I23</x:f>
        <x:v>28981.742985265857</x:v>
      </x:c>
      <x:c r="N23" s="299" t="str">
        <x:v>https://www.ic3.gov/AnnualReport/Reports/2022_IC3Report.pdf</x:v>
      </x:c>
      <x:c r="O23" s="299" t="str">
        <x:v>https://www.census.gov/programs-surveys/acs/data/summary-file.2021.html</x:v>
      </x:c>
    </x:row>
    <x:row r="24">
      <x:c r="A24" s="299" t="n">
        <x:v>2022</x:v>
      </x:c>
      <x:c r="B24" s="299" t="str">
        <x:v>Michigan</x:v>
      </x:c>
      <x:c r="C24" s="299" t="str">
        <x:v>Midwest</x:v>
      </x:c>
      <x:c r="D24" s="299" t="n">
        <x:v>2021</x:v>
      </x:c>
      <x:c r="E24" s="302" t="n">
        <x:v>10050811</x:v>
      </x:c>
      <x:c r="F24" s="305" t="n">
        <x:v>63498</x:v>
      </x:c>
      <x:c r="G24" s="308" t="n">
        <x:v>0.18140665464707276</x:v>
      </x:c>
      <x:c r="H24" s="308" t="n">
        <x:v>0.901644652571525</x:v>
      </x:c>
      <x:c r="I24" s="302" t="n">
        <x:v>13566</x:v>
      </x:c>
      <x:c r="J24" s="302" t="n">
        <x:v>177865280</x:v>
      </x:c>
      <x:c r="K24" s="311" t="n">
        <x:f>I24/E24*100000</x:f>
        <x:v>134.9741826803827</x:v>
      </x:c>
      <x:c r="L24" s="314" t="n">
        <x:f>J24/E24</x:f>
        <x:v>17.696609756167934</x:v>
      </x:c>
      <x:c r="M24" s="305" t="n">
        <x:f>J24/I24</x:f>
        <x:v>13111.10717971399</x:v>
      </x:c>
      <x:c r="N24" s="299" t="str">
        <x:v>https://www.ic3.gov/AnnualReport/Reports/2022_IC3Report.pdf</x:v>
      </x:c>
      <x:c r="O24" s="299" t="str">
        <x:v>https://www.census.gov/programs-surveys/acs/data/summary-file.2021.html</x:v>
      </x:c>
    </x:row>
    <x:row r="25">
      <x:c r="A25" s="299" t="n">
        <x:v>2022</x:v>
      </x:c>
      <x:c r="B25" s="299" t="str">
        <x:v>Minnesota</x:v>
      </x:c>
      <x:c r="C25" s="299" t="str">
        <x:v>Midwest</x:v>
      </x:c>
      <x:c r="D25" s="299" t="n">
        <x:v>2021</x:v>
      </x:c>
      <x:c r="E25" s="302" t="n">
        <x:v>5707390</x:v>
      </x:c>
      <x:c r="F25" s="305" t="n">
        <x:v>77720</x:v>
      </x:c>
      <x:c r="G25" s="308" t="n">
        <x:v>0.16807542501914186</x:v>
      </x:c>
      <x:c r="H25" s="308" t="n">
        <x:v>0.915689952753862</x:v>
      </x:c>
      <x:c r="I25" s="302" t="n">
        <x:v>5845</x:v>
      </x:c>
      <x:c r="J25" s="302" t="n">
        <x:v>103771677</x:v>
      </x:c>
      <x:c r="K25" s="311" t="n">
        <x:f>I25/E25*100000</x:f>
        <x:v>102.41108457631246</x:v>
      </x:c>
      <x:c r="L25" s="314" t="n">
        <x:f>J25/E25</x:f>
        <x:v>18.181984584897826</x:v>
      </x:c>
      <x:c r="M25" s="305" t="n">
        <x:f>J25/I25</x:f>
        <x:v>17753.92249786142</x:v>
      </x:c>
      <x:c r="N25" s="299" t="str">
        <x:v>https://www.ic3.gov/AnnualReport/Reports/2022_IC3Report.pdf</x:v>
      </x:c>
      <x:c r="O25" s="299" t="str">
        <x:v>https://www.census.gov/programs-surveys/acs/data/summary-file.2021.html</x:v>
      </x:c>
    </x:row>
    <x:row r="26">
      <x:c r="A26" s="299" t="n">
        <x:v>2022</x:v>
      </x:c>
      <x:c r="B26" s="299" t="str">
        <x:v>Mississippi</x:v>
      </x:c>
      <x:c r="C26" s="299" t="str">
        <x:v>South</x:v>
      </x:c>
      <x:c r="D26" s="299" t="n">
        <x:v>2021</x:v>
      </x:c>
      <x:c r="E26" s="302" t="n">
        <x:v>2949965</x:v>
      </x:c>
      <x:c r="F26" s="305" t="n">
        <x:v>48716</x:v>
      </x:c>
      <x:c r="G26" s="308" t="n">
        <x:v>0.16845793085680674</x:v>
      </x:c>
      <x:c r="H26" s="308" t="n">
        <x:v>0.8194980395906203</x:v>
      </x:c>
      <x:c r="I26" s="302" t="n">
        <x:v>2043</x:v>
      </x:c>
      <x:c r="J26" s="302" t="n">
        <x:v>28213583</x:v>
      </x:c>
      <x:c r="K26" s="311" t="n">
        <x:f>I26/E26*100000</x:f>
        <x:v>69.25505895832661</x:v>
      </x:c>
      <x:c r="L26" s="314" t="n">
        <x:f>J26/E26</x:f>
        <x:v>9.564039912337943</x:v>
      </x:c>
      <x:c r="M26" s="305" t="n">
        <x:f>J26/I26</x:f>
        <x:v>13809.879099363681</x:v>
      </x:c>
      <x:c r="N26" s="299" t="str">
        <x:v>https://www.ic3.gov/AnnualReport/Reports/2022_IC3Report.pdf</x:v>
      </x:c>
      <x:c r="O26" s="299" t="str">
        <x:v>https://www.census.gov/programs-surveys/acs/data/summary-file.2021.html</x:v>
      </x:c>
    </x:row>
    <x:row r="27">
      <x:c r="A27" s="299" t="n">
        <x:v>2022</x:v>
      </x:c>
      <x:c r="B27" s="299" t="str">
        <x:v>Missouri</x:v>
      </x:c>
      <x:c r="C27" s="299" t="str">
        <x:v>Midwest</x:v>
      </x:c>
      <x:c r="D27" s="299" t="n">
        <x:v>2021</x:v>
      </x:c>
      <x:c r="E27" s="302" t="n">
        <x:v>6168187</x:v>
      </x:c>
      <x:c r="F27" s="305" t="n">
        <x:v>61847</x:v>
      </x:c>
      <x:c r="G27" s="308" t="n">
        <x:v>0.17586496648042607</x:v>
      </x:c>
      <x:c r="H27" s="308" t="n">
        <x:v>0.8865601123818521</x:v>
      </x:c>
      <x:c r="I27" s="302" t="n">
        <x:v>7560</x:v>
      </x:c>
      <x:c r="J27" s="302" t="n">
        <x:v>118365728</x:v>
      </x:c>
      <x:c r="K27" s="311" t="n">
        <x:f>I27/E27*100000</x:f>
        <x:v>122.56437750671307</x:v>
      </x:c>
      <x:c r="L27" s="314" t="n">
        <x:f>J27/E27</x:f>
        <x:v>19.189711336572643</x:v>
      </x:c>
      <x:c r="M27" s="305" t="n">
        <x:f>J27/I27</x:f>
        <x:v>15656.842328042329</x:v>
      </x:c>
      <x:c r="N27" s="299" t="str">
        <x:v>https://www.ic3.gov/AnnualReport/Reports/2022_IC3Report.pdf</x:v>
      </x:c>
      <x:c r="O27" s="299" t="str">
        <x:v>https://www.census.gov/programs-surveys/acs/data/summary-file.2021.html</x:v>
      </x:c>
    </x:row>
    <x:row r="28">
      <x:c r="A28" s="299" t="n">
        <x:v>2022</x:v>
      </x:c>
      <x:c r="B28" s="299" t="str">
        <x:v>Montana</x:v>
      </x:c>
      <x:c r="C28" s="299" t="str">
        <x:v>West</x:v>
      </x:c>
      <x:c r="D28" s="299" t="n">
        <x:v>2021</x:v>
      </x:c>
      <x:c r="E28" s="302" t="n">
        <x:v>1104271</x:v>
      </x:c>
      <x:c r="F28" s="305" t="n">
        <x:v>63249</x:v>
      </x:c>
      <x:c r="G28" s="308" t="n">
        <x:v>0.19677959486394195</x:v>
      </x:c>
      <x:c r="H28" s="308" t="n">
        <x:v>0.8920835105991994</x:v>
      </x:c>
      <x:c r="I28" s="302" t="n">
        <x:v>1170</x:v>
      </x:c>
      <x:c r="J28" s="302" t="n">
        <x:v>22252737</x:v>
      </x:c>
      <x:c r="K28" s="311" t="n">
        <x:f>I28/E28*100000</x:f>
        <x:v>105.95225266261633</x:v>
      </x:c>
      <x:c r="L28" s="314" t="n">
        <x:f>J28/E28</x:f>
        <x:v>20.151518060331206</x:v>
      </x:c>
      <x:c r="M28" s="305" t="n">
        <x:f>J28/I28</x:f>
        <x:v>19019.433333333334</x:v>
      </x:c>
      <x:c r="N28" s="299" t="str">
        <x:v>https://www.ic3.gov/AnnualReport/Reports/2022_IC3Report.pdf</x:v>
      </x:c>
      <x:c r="O28" s="299" t="str">
        <x:v>https://www.census.gov/programs-surveys/acs/data/summary-file.2021.html</x:v>
      </x:c>
    </x:row>
    <x:row r="29">
      <x:c r="A29" s="299" t="n">
        <x:v>2022</x:v>
      </x:c>
      <x:c r="B29" s="299" t="str">
        <x:v>Nebraska</x:v>
      </x:c>
      <x:c r="C29" s="299" t="str">
        <x:v>Midwest</x:v>
      </x:c>
      <x:c r="D29" s="299" t="n">
        <x:v>2021</x:v>
      </x:c>
      <x:c r="E29" s="302" t="n">
        <x:v>1963692</x:v>
      </x:c>
      <x:c r="F29" s="305" t="n">
        <x:v>66817</x:v>
      </x:c>
      <x:c r="G29" s="308" t="n">
        <x:v>0.16440103641507936</x:v>
      </x:c>
      <x:c r="H29" s="308" t="n">
        <x:v>0.900351407538595</x:v>
      </x:c>
      <x:c r="I29" s="302" t="n">
        <x:v>1957</x:v>
      </x:c>
      <x:c r="J29" s="302" t="n">
        <x:v>28659814</x:v>
      </x:c>
      <x:c r="K29" s="311" t="n">
        <x:f>I29/E29*100000</x:f>
        <x:v>99.65921335932518</x:v>
      </x:c>
      <x:c r="L29" s="314" t="n">
        <x:f>J29/E29</x:f>
        <x:v>14.594862127054549</x:v>
      </x:c>
      <x:c r="M29" s="305" t="n">
        <x:f>J29/I29</x:f>
        <x:v>14644.76954522228</x:v>
      </x:c>
      <x:c r="N29" s="299" t="str">
        <x:v>https://www.ic3.gov/AnnualReport/Reports/2022_IC3Report.pdf</x:v>
      </x:c>
      <x:c r="O29" s="299" t="str">
        <x:v>https://www.census.gov/programs-surveys/acs/data/summary-file.2021.html</x:v>
      </x:c>
    </x:row>
    <x:row r="30">
      <x:c r="A30" s="299" t="n">
        <x:v>2022</x:v>
      </x:c>
      <x:c r="B30" s="299" t="str">
        <x:v>Nevada</x:v>
      </x:c>
      <x:c r="C30" s="299" t="str">
        <x:v>West</x:v>
      </x:c>
      <x:c r="D30" s="299" t="n">
        <x:v>2021</x:v>
      </x:c>
      <x:c r="E30" s="302" t="n">
        <x:v>3143991</x:v>
      </x:c>
      <x:c r="F30" s="305" t="n">
        <x:v>66274</x:v>
      </x:c>
      <x:c r="G30" s="308" t="n">
        <x:v>0.16525747052074893</x:v>
      </x:c>
      <x:c r="H30" s="308" t="n">
        <x:v>0.9068122681260387</x:v>
      </x:c>
      <x:c r="I30" s="302" t="n">
        <x:v>9090</x:v>
      </x:c>
      <x:c r="J30" s="302" t="n">
        <x:v>127315394</x:v>
      </x:c>
      <x:c r="K30" s="311" t="n">
        <x:f>I30/E30*100000</x:f>
        <x:v>289.1229650466557</x:v>
      </x:c>
      <x:c r="L30" s="314" t="n">
        <x:f>J30/E30</x:f>
        <x:v>40.49483411371089</x:v>
      </x:c>
      <x:c r="M30" s="305" t="n">
        <x:f>J30/I30</x:f>
        <x:v>14006.093949394939</x:v>
      </x:c>
      <x:c r="N30" s="299" t="str">
        <x:v>https://www.ic3.gov/AnnualReport/Reports/2022_IC3Report.pdf</x:v>
      </x:c>
      <x:c r="O30" s="299" t="str">
        <x:v>https://www.census.gov/programs-surveys/acs/data/summary-file.2021.html</x:v>
      </x:c>
    </x:row>
    <x:row r="31">
      <x:c r="A31" s="299" t="n">
        <x:v>2022</x:v>
      </x:c>
      <x:c r="B31" s="299" t="str">
        <x:v>New Hampshire</x:v>
      </x:c>
      <x:c r="C31" s="299" t="str">
        <x:v>Northeast</x:v>
      </x:c>
      <x:c r="D31" s="299" t="n">
        <x:v>2021</x:v>
      </x:c>
      <x:c r="E31" s="302" t="n">
        <x:v>1388992</x:v>
      </x:c>
      <x:c r="F31" s="305" t="n">
        <x:v>88465</x:v>
      </x:c>
      <x:c r="G31" s="308" t="n">
        <x:v>0.19275920955628256</x:v>
      </x:c>
      <x:c r="H31" s="308" t="n">
        <x:v>0.9252280001313806</x:v>
      </x:c>
      <x:c r="I31" s="302" t="n">
        <x:v>1416</x:v>
      </x:c>
      <x:c r="J31" s="302" t="n">
        <x:v>29322824</x:v>
      </x:c>
      <x:c r="K31" s="311" t="n">
        <x:f>I31/E31*100000</x:f>
        <x:v>101.94443164539464</x:v>
      </x:c>
      <x:c r="L31" s="314" t="n">
        <x:f>J31/E31</x:f>
        <x:v>21.11086600930747</x:v>
      </x:c>
      <x:c r="M31" s="305" t="n">
        <x:f>J31/I31</x:f>
        <x:v>20708.209039548023</x:v>
      </x:c>
      <x:c r="N31" s="299" t="str">
        <x:v>https://www.ic3.gov/AnnualReport/Reports/2022_IC3Report.pdf</x:v>
      </x:c>
      <x:c r="O31" s="299" t="str">
        <x:v>https://www.census.gov/programs-surveys/acs/data/summary-file.2021.html</x:v>
      </x:c>
    </x:row>
    <x:row r="32">
      <x:c r="A32" s="299" t="n">
        <x:v>2022</x:v>
      </x:c>
      <x:c r="B32" s="299" t="str">
        <x:v>New Jersey</x:v>
      </x:c>
      <x:c r="C32" s="299" t="str">
        <x:v>Northeast</x:v>
      </x:c>
      <x:c r="D32" s="299" t="n">
        <x:v>2021</x:v>
      </x:c>
      <x:c r="E32" s="302" t="n">
        <x:v>9267130</x:v>
      </x:c>
      <x:c r="F32" s="305" t="n">
        <x:v>89296</x:v>
      </x:c>
      <x:c r="G32" s="308" t="n">
        <x:v>0.16872764275455293</x:v>
      </x:c>
      <x:c r="H32" s="308" t="n">
        <x:v>0.9197237235005125</x:v>
      </x:c>
      <x:c r="I32" s="302" t="n">
        <x:v>11793</x:v>
      </x:c>
      <x:c r="J32" s="302" t="n">
        <x:v>284590029</x:v>
      </x:c>
      <x:c r="K32" s="311" t="n">
        <x:f>I32/E32*100000</x:f>
        <x:v>127.25622711670171</x:v>
      </x:c>
      <x:c r="L32" s="314" t="n">
        <x:f>J32/E32</x:f>
        <x:v>30.709618727696707</x:v>
      </x:c>
      <x:c r="M32" s="305" t="n">
        <x:f>J32/I32</x:f>
        <x:v>24132.11472907657</x:v>
      </x:c>
      <x:c r="N32" s="299" t="str">
        <x:v>https://www.ic3.gov/AnnualReport/Reports/2022_IC3Report.pdf</x:v>
      </x:c>
      <x:c r="O32" s="299" t="str">
        <x:v>https://www.census.gov/programs-surveys/acs/data/summary-file.2021.html</x:v>
      </x:c>
    </x:row>
    <x:row r="33">
      <x:c r="A33" s="299" t="n">
        <x:v>2022</x:v>
      </x:c>
      <x:c r="B33" s="299" t="str">
        <x:v>New Mexico</x:v>
      </x:c>
      <x:c r="C33" s="299" t="str">
        <x:v>West</x:v>
      </x:c>
      <x:c r="D33" s="299" t="n">
        <x:v>2021</x:v>
      </x:c>
      <x:c r="E33" s="302" t="n">
        <x:v>2115877</x:v>
      </x:c>
      <x:c r="F33" s="305" t="n">
        <x:v>53992</x:v>
      </x:c>
      <x:c r="G33" s="308" t="n">
        <x:v>0.18517002642403127</x:v>
      </x:c>
      <x:c r="H33" s="308" t="n">
        <x:v>0.8462099238975214</x:v>
      </x:c>
      <x:c r="I33" s="302" t="n">
        <x:v>2589</x:v>
      </x:c>
      <x:c r="J33" s="302" t="n">
        <x:v>32941959</x:v>
      </x:c>
      <x:c r="K33" s="311" t="n">
        <x:f>I33/E33*100000</x:f>
        <x:v>122.36060980860418</x:v>
      </x:c>
      <x:c r="L33" s="314" t="n">
        <x:f>J33/E33</x:f>
        <x:v>15.568938553611575</x:v>
      </x:c>
      <x:c r="M33" s="305" t="n">
        <x:f>J33/I33</x:f>
        <x:v>12723.815758980301</x:v>
      </x:c>
      <x:c r="N33" s="299" t="str">
        <x:v>https://www.ic3.gov/AnnualReport/Reports/2022_IC3Report.pdf</x:v>
      </x:c>
      <x:c r="O33" s="299" t="str">
        <x:v>https://www.census.gov/programs-surveys/acs/data/summary-file.2021.html</x:v>
      </x:c>
    </x:row>
    <x:row r="34">
      <x:c r="A34" s="299" t="n">
        <x:v>2022</x:v>
      </x:c>
      <x:c r="B34" s="299" t="str">
        <x:v>New York</x:v>
      </x:c>
      <x:c r="C34" s="299" t="str">
        <x:v>Northeast</x:v>
      </x:c>
      <x:c r="D34" s="299" t="n">
        <x:v>2021</x:v>
      </x:c>
      <x:c r="E34" s="302" t="n">
        <x:v>19835913</x:v>
      </x:c>
      <x:c r="F34" s="305" t="n">
        <x:v>74314</x:v>
      </x:c>
      <x:c r="G34" s="308" t="n">
        <x:v>0.1753051145162817</x:v>
      </x:c>
      <x:c r="H34" s="308" t="n">
        <x:v>0.906129314934168</x:v>
      </x:c>
      <x:c r="I34" s="302" t="n">
        <x:v>25112</x:v>
      </x:c>
      <x:c r="J34" s="302" t="n">
        <x:v>777099358</x:v>
      </x:c>
      <x:c r="K34" s="311" t="n">
        <x:f>I34/E34*100000</x:f>
        <x:v>126.5986597138231</x:v>
      </x:c>
      <x:c r="L34" s="314" t="n">
        <x:f>J34/E34</x:f>
        <x:v>39.17638467158028</x:v>
      </x:c>
      <x:c r="M34" s="305" t="n">
        <x:f>J34/I34</x:f>
        <x:v>30945.33920038229</x:v>
      </x:c>
      <x:c r="N34" s="299" t="str">
        <x:v>https://www.ic3.gov/AnnualReport/Reports/2022_IC3Report.pdf</x:v>
      </x:c>
      <x:c r="O34" s="299" t="str">
        <x:v>https://www.census.gov/programs-surveys/acs/data/summary-file.2021.html</x:v>
      </x:c>
    </x:row>
    <x:row r="35">
      <x:c r="A35" s="299" t="n">
        <x:v>2022</x:v>
      </x:c>
      <x:c r="B35" s="299" t="str">
        <x:v>North Carolina</x:v>
      </x:c>
      <x:c r="C35" s="299" t="str">
        <x:v>South</x:v>
      </x:c>
      <x:c r="D35" s="299" t="n">
        <x:v>2021</x:v>
      </x:c>
      <x:c r="E35" s="302" t="n">
        <x:v>10551162</x:v>
      </x:c>
      <x:c r="F35" s="305" t="n">
        <x:v>61972</x:v>
      </x:c>
      <x:c r="G35" s="308" t="n">
        <x:v>0.17025319107032952</x:v>
      </x:c>
      <x:c r="H35" s="308" t="n">
        <x:v>0.8904410723240708</x:v>
      </x:c>
      <x:c r="I35" s="302" t="n">
        <x:v>10554</x:v>
      </x:c>
      <x:c r="J35" s="302" t="n">
        <x:v>175454536</x:v>
      </x:c>
      <x:c r="K35" s="311" t="n">
        <x:f>I35/E35*100000</x:f>
        <x:v>100.02689751138311</x:v>
      </x:c>
      <x:c r="L35" s="314" t="n">
        <x:f>J35/E35</x:f>
        <x:v>16.628930159540722</x:v>
      </x:c>
      <x:c r="M35" s="305" t="n">
        <x:f>J35/I35</x:f>
        <x:v>16624.45859389805</x:v>
      </x:c>
      <x:c r="N35" s="299" t="str">
        <x:v>https://www.ic3.gov/AnnualReport/Reports/2022_IC3Report.pdf</x:v>
      </x:c>
      <x:c r="O35" s="299" t="str">
        <x:v>https://www.census.gov/programs-surveys/acs/data/summary-file.2021.html</x:v>
      </x:c>
    </x:row>
    <x:row r="36">
      <x:c r="A36" s="299" t="n">
        <x:v>2022</x:v>
      </x:c>
      <x:c r="B36" s="299" t="str">
        <x:v>North Dakota</x:v>
      </x:c>
      <x:c r="C36" s="299" t="str">
        <x:v>Midwest</x:v>
      </x:c>
      <x:c r="D36" s="299" t="n">
        <x:v>2021</x:v>
      </x:c>
      <x:c r="E36" s="302" t="n">
        <x:v>774948</x:v>
      </x:c>
      <x:c r="F36" s="305" t="n">
        <x:v>66519</x:v>
      </x:c>
      <x:c r="G36" s="308" t="n">
        <x:v>0.15980427073816567</x:v>
      </x:c>
      <x:c r="H36" s="308" t="n">
        <x:v>0.8816319443367823</x:v>
      </x:c>
      <x:c r="I36" s="302" t="n">
        <x:v>703</x:v>
      </x:c>
      <x:c r="J36" s="302" t="n">
        <x:v>14279199</x:v>
      </x:c>
      <x:c r="K36" s="311" t="n">
        <x:f>I36/E36*100000</x:f>
        <x:v>90.71576415449812</x:v>
      </x:c>
      <x:c r="L36" s="314" t="n">
        <x:f>J36/E36</x:f>
        <x:v>18.426009229006333</x:v>
      </x:c>
      <x:c r="M36" s="305" t="n">
        <x:f>J36/I36</x:f>
        <x:v>20311.805120910383</x:v>
      </x:c>
      <x:c r="N36" s="299" t="str">
        <x:v>https://www.ic3.gov/AnnualReport/Reports/2022_IC3Report.pdf</x:v>
      </x:c>
      <x:c r="O36" s="299" t="str">
        <x:v>https://www.census.gov/programs-surveys/acs/data/summary-file.2021.html</x:v>
      </x:c>
    </x:row>
    <x:row r="37">
      <x:c r="A37" s="299" t="n">
        <x:v>2022</x:v>
      </x:c>
      <x:c r="B37" s="299" t="str">
        <x:v>Ohio</x:v>
      </x:c>
      <x:c r="C37" s="299" t="str">
        <x:v>Midwest</x:v>
      </x:c>
      <x:c r="D37" s="299" t="n">
        <x:v>2021</x:v>
      </x:c>
      <x:c r="E37" s="302" t="n">
        <x:v>11780017</x:v>
      </x:c>
      <x:c r="F37" s="305" t="n">
        <x:v>62262</x:v>
      </x:c>
      <x:c r="G37" s="308" t="n">
        <x:v>0.17848607518987453</x:v>
      </x:c>
      <x:c r="H37" s="308" t="n">
        <x:v>0.8913584783698144</x:v>
      </x:c>
      <x:c r="I37" s="302" t="n">
        <x:v>13659</x:v>
      </x:c>
      <x:c r="J37" s="302" t="n">
        <x:v>180091279</x:v>
      </x:c>
      <x:c r="K37" s="311" t="n">
        <x:f>I37/E37*100000</x:f>
        <x:v>115.95059667570938</x:v>
      </x:c>
      <x:c r="L37" s="314" t="n">
        <x:f>J37/E37</x:f>
        <x:v>15.287862402915039</x:v>
      </x:c>
      <x:c r="M37" s="305" t="n">
        <x:f>J37/I37</x:f>
        <x:v>13184.807013690606</x:v>
      </x:c>
      <x:c r="N37" s="299" t="str">
        <x:v>https://www.ic3.gov/AnnualReport/Reports/2022_IC3Report.pdf</x:v>
      </x:c>
      <x:c r="O37" s="299" t="str">
        <x:v>https://www.census.gov/programs-surveys/acs/data/summary-file.2021.html</x:v>
      </x:c>
    </x:row>
    <x:row r="38">
      <x:c r="A38" s="299" t="n">
        <x:v>2022</x:v>
      </x:c>
      <x:c r="B38" s="299" t="str">
        <x:v>Oklahoma</x:v>
      </x:c>
      <x:c r="C38" s="299" t="str">
        <x:v>South</x:v>
      </x:c>
      <x:c r="D38" s="299" t="n">
        <x:v>2021</x:v>
      </x:c>
      <x:c r="E38" s="302" t="n">
        <x:v>3986639</x:v>
      </x:c>
      <x:c r="F38" s="305" t="n">
        <x:v>55826</x:v>
      </x:c>
      <x:c r="G38" s="308" t="n">
        <x:v>0.16183406623975735</x:v>
      </x:c>
      <x:c r="H38" s="308" t="n">
        <x:v>0.8796647473751055</x:v>
      </x:c>
      <x:c r="I38" s="302" t="n">
        <x:v>4148</x:v>
      </x:c>
      <x:c r="J38" s="302" t="n">
        <x:v>66517159</x:v>
      </x:c>
      <x:c r="K38" s="311" t="n">
        <x:f>I38/E38*100000</x:f>
        <x:v>104.0475448115568</x:v>
      </x:c>
      <x:c r="L38" s="314" t="n">
        <x:f>J38/E38</x:f>
        <x:v>16.68502189438271</x:v>
      </x:c>
      <x:c r="M38" s="305" t="n">
        <x:f>J38/I38</x:f>
        <x:v>16035.959257473482</x:v>
      </x:c>
      <x:c r="N38" s="299" t="str">
        <x:v>https://www.ic3.gov/AnnualReport/Reports/2022_IC3Report.pdf</x:v>
      </x:c>
      <x:c r="O38" s="299" t="str">
        <x:v>https://www.census.gov/programs-surveys/acs/data/summary-file.2021.html</x:v>
      </x:c>
    </x:row>
    <x:row r="39">
      <x:c r="A39" s="299" t="n">
        <x:v>2022</x:v>
      </x:c>
      <x:c r="B39" s="299" t="str">
        <x:v>Oregon</x:v>
      </x:c>
      <x:c r="C39" s="299" t="str">
        <x:v>West</x:v>
      </x:c>
      <x:c r="D39" s="299" t="n">
        <x:v>2021</x:v>
      </x:c>
      <x:c r="E39" s="302" t="n">
        <x:v>4246155</x:v>
      </x:c>
      <x:c r="F39" s="305" t="n">
        <x:v>71562</x:v>
      </x:c>
      <x:c r="G39" s="308" t="n">
        <x:v>0.1860261813334652</x:v>
      </x:c>
      <x:c r="H39" s="308" t="n">
        <x:v>0.9180165147518587</x:v>
      </x:c>
      <x:c r="I39" s="302" t="n">
        <x:v>5516</x:v>
      </x:c>
      <x:c r="J39" s="302" t="n">
        <x:v>109917253</x:v>
      </x:c>
      <x:c r="K39" s="311" t="n">
        <x:f>I39/E39*100000</x:f>
        <x:v>129.9057618009705</x:v>
      </x:c>
      <x:c r="L39" s="314" t="n">
        <x:f>J39/E39</x:f>
        <x:v>25.88630254901199</x:v>
      </x:c>
      <x:c r="M39" s="305" t="n">
        <x:f>J39/I39</x:f>
        <x:v>19926.985678027555</x:v>
      </x:c>
      <x:c r="N39" s="299" t="str">
        <x:v>https://www.ic3.gov/AnnualReport/Reports/2022_IC3Report.pdf</x:v>
      </x:c>
      <x:c r="O39" s="299" t="str">
        <x:v>https://www.census.gov/programs-surveys/acs/data/summary-file.2021.html</x:v>
      </x:c>
    </x:row>
    <x:row r="40">
      <x:c r="A40" s="299" t="n">
        <x:v>2022</x:v>
      </x:c>
      <x:c r="B40" s="299" t="str">
        <x:v>Pennsylvania</x:v>
      </x:c>
      <x:c r="C40" s="299" t="str">
        <x:v>Northeast</x:v>
      </x:c>
      <x:c r="D40" s="299" t="n">
        <x:v>2021</x:v>
      </x:c>
      <x:c r="E40" s="302" t="n">
        <x:v>12964056</x:v>
      </x:c>
      <x:c r="F40" s="305" t="n">
        <x:v>68957</x:v>
      </x:c>
      <x:c r="G40" s="308" t="n">
        <x:v>0.19013362793249272</x:v>
      </x:c>
      <x:c r="H40" s="308" t="n">
        <x:v>0.8907133661097933</x:v>
      </x:c>
      <x:c r="I40" s="302" t="n">
        <x:v>14714</x:v>
      </x:c>
      <x:c r="J40" s="302" t="n">
        <x:v>250903241</x:v>
      </x:c>
      <x:c r="K40" s="311" t="n">
        <x:f>I40/E40*100000</x:f>
        <x:v>113.49842981239823</x:v>
      </x:c>
      <x:c r="L40" s="314" t="n">
        <x:f>J40/E40</x:f>
        <x:v>19.353760968018033</x:v>
      </x:c>
      <x:c r="M40" s="305" t="n">
        <x:f>J40/I40</x:f>
        <x:v>17052.007679760773</x:v>
      </x:c>
      <x:c r="N40" s="299" t="str">
        <x:v>https://www.ic3.gov/AnnualReport/Reports/2022_IC3Report.pdf</x:v>
      </x:c>
      <x:c r="O40" s="299" t="str">
        <x:v>https://www.census.gov/programs-surveys/acs/data/summary-file.2021.html</x:v>
      </x:c>
    </x:row>
    <x:row r="41">
      <x:c r="A41" s="299" t="n">
        <x:v>2022</x:v>
      </x:c>
      <x:c r="B41" s="299" t="str">
        <x:v>Rhode Island</x:v>
      </x:c>
      <x:c r="C41" s="299" t="str">
        <x:v>Northeast</x:v>
      </x:c>
      <x:c r="D41" s="299" t="n">
        <x:v>2021</x:v>
      </x:c>
      <x:c r="E41" s="302" t="n">
        <x:v>1095610</x:v>
      </x:c>
      <x:c r="F41" s="305" t="n">
        <x:v>74008</x:v>
      </x:c>
      <x:c r="G41" s="308" t="n">
        <x:v>0.1827301685818859</x:v>
      </x:c>
      <x:c r="H41" s="308" t="n">
        <x:v>0.9092123497739508</x:v>
      </x:c>
      <x:c r="I41" s="302" t="n">
        <x:v>1119</x:v>
      </x:c>
      <x:c r="J41" s="302" t="n">
        <x:v>21827037</x:v>
      </x:c>
      <x:c r="K41" s="311" t="n">
        <x:f>I41/E41*100000</x:f>
        <x:v>102.13488376338296</x:v>
      </x:c>
      <x:c r="L41" s="314" t="n">
        <x:f>J41/E41</x:f>
        <x:v>19.92226887304789</x:v>
      </x:c>
      <x:c r="M41" s="305" t="n">
        <x:f>J41/I41</x:f>
        <x:v>19505.8418230563</x:v>
      </x:c>
      <x:c r="N41" s="299" t="str">
        <x:v>https://www.ic3.gov/AnnualReport/Reports/2022_IC3Report.pdf</x:v>
      </x:c>
      <x:c r="O41" s="299" t="str">
        <x:v>https://www.census.gov/programs-surveys/acs/data/summary-file.2021.html</x:v>
      </x:c>
    </x:row>
    <x:row r="42">
      <x:c r="A42" s="299" t="n">
        <x:v>2022</x:v>
      </x:c>
      <x:c r="B42" s="299" t="str">
        <x:v>South Carolina</x:v>
      </x:c>
      <x:c r="C42" s="299" t="str">
        <x:v>South</x:v>
      </x:c>
      <x:c r="D42" s="299" t="n">
        <x:v>2021</x:v>
      </x:c>
      <x:c r="E42" s="302" t="n">
        <x:v>5190705</x:v>
      </x:c>
      <x:c r="F42" s="305" t="n">
        <x:v>59318</x:v>
      </x:c>
      <x:c r="G42" s="308" t="n">
        <x:v>0.18633750136060512</x:v>
      </x:c>
      <x:c r="H42" s="308" t="n">
        <x:v>0.8793495716039048</x:v>
      </x:c>
      <x:c r="I42" s="302" t="n">
        <x:v>7861</x:v>
      </x:c>
      <x:c r="J42" s="302" t="n">
        <x:v>100256530</x:v>
      </x:c>
      <x:c r="K42" s="311" t="n">
        <x:f>I42/E42*100000</x:f>
        <x:v>151.4437826846257</x:v>
      </x:c>
      <x:c r="L42" s="314" t="n">
        <x:f>J42/E42</x:f>
        <x:v>19.31462681851502</x:v>
      </x:c>
      <x:c r="M42" s="305" t="n">
        <x:f>J42/I42</x:f>
        <x:v>12753.661111817835</x:v>
      </x:c>
      <x:c r="N42" s="299" t="str">
        <x:v>https://www.ic3.gov/AnnualReport/Reports/2022_IC3Report.pdf</x:v>
      </x:c>
      <x:c r="O42" s="299" t="str">
        <x:v>https://www.census.gov/programs-surveys/acs/data/summary-file.2021.html</x:v>
      </x:c>
    </x:row>
    <x:row r="43">
      <x:c r="A43" s="299" t="n">
        <x:v>2022</x:v>
      </x:c>
      <x:c r="B43" s="299" t="str">
        <x:v>South Dakota</x:v>
      </x:c>
      <x:c r="C43" s="299" t="str">
        <x:v>Midwest</x:v>
      </x:c>
      <x:c r="D43" s="299" t="n">
        <x:v>2021</x:v>
      </x:c>
      <x:c r="E43" s="302" t="n">
        <x:v>895376</x:v>
      </x:c>
      <x:c r="F43" s="305" t="n">
        <x:v>66143</x:v>
      </x:c>
      <x:c r="G43" s="308" t="n">
        <x:v>0.17633150765711836</x:v>
      </x:c>
      <x:c r="H43" s="308" t="n">
        <x:v>0.8825818816600213</x:v>
      </x:c>
      <x:c r="I43" s="302" t="n">
        <x:v>1691</x:v>
      </x:c>
      <x:c r="J43" s="302" t="n">
        <x:v>48072730</x:v>
      </x:c>
      <x:c r="K43" s="311" t="n">
        <x:f>I43/E43*100000</x:f>
        <x:v>188.8592055181287</x:v>
      </x:c>
      <x:c r="L43" s="314" t="n">
        <x:f>J43/E43</x:f>
        <x:v>53.6899916906417</x:v>
      </x:c>
      <x:c r="M43" s="305" t="n">
        <x:f>J43/I43</x:f>
        <x:v>28428.580721466587</x:v>
      </x:c>
      <x:c r="N43" s="299" t="str">
        <x:v>https://www.ic3.gov/AnnualReport/Reports/2022_IC3Report.pdf</x:v>
      </x:c>
      <x:c r="O43" s="299" t="str">
        <x:v>https://www.census.gov/programs-surveys/acs/data/summary-file.2021.html</x:v>
      </x:c>
    </x:row>
    <x:row r="44">
      <x:c r="A44" s="299" t="n">
        <x:v>2022</x:v>
      </x:c>
      <x:c r="B44" s="299" t="str">
        <x:v>Tennessee</x:v>
      </x:c>
      <x:c r="C44" s="299" t="str">
        <x:v>South</x:v>
      </x:c>
      <x:c r="D44" s="299" t="n">
        <x:v>2021</x:v>
      </x:c>
      <x:c r="E44" s="302" t="n">
        <x:v>6975218</x:v>
      </x:c>
      <x:c r="F44" s="305" t="n">
        <x:v>59695</x:v>
      </x:c>
      <x:c r="G44" s="308" t="n">
        <x:v>0.17022464387492978</x:v>
      </x:c>
      <x:c r="H44" s="308" t="n">
        <x:v>0.881410412594594</x:v>
      </x:c>
      <x:c r="I44" s="302" t="n">
        <x:v>7161</x:v>
      </x:c>
      <x:c r="J44" s="302" t="n">
        <x:v>113713897</x:v>
      </x:c>
      <x:c r="K44" s="311" t="n">
        <x:f>I44/E44*100000</x:f>
        <x:v>102.66345797364328</x:v>
      </x:c>
      <x:c r="L44" s="314" t="n">
        <x:f>J44/E44</x:f>
        <x:v>16.302558142268815</x:v>
      </x:c>
      <x:c r="M44" s="305" t="n">
        <x:f>J44/I44</x:f>
        <x:v>15879.611367127496</x:v>
      </x:c>
      <x:c r="N44" s="299" t="str">
        <x:v>https://www.ic3.gov/AnnualReport/Reports/2022_IC3Report.pdf</x:v>
      </x:c>
      <x:c r="O44" s="299" t="str">
        <x:v>https://www.census.gov/programs-surveys/acs/data/summary-file.2021.html</x:v>
      </x:c>
    </x:row>
    <x:row r="45">
      <x:c r="A45" s="299" t="n">
        <x:v>2022</x:v>
      </x:c>
      <x:c r="B45" s="299" t="str">
        <x:v>Texas</x:v>
      </x:c>
      <x:c r="C45" s="299" t="str">
        <x:v>South</x:v>
      </x:c>
      <x:c r="D45" s="299" t="n">
        <x:v>2021</x:v>
      </x:c>
      <x:c r="E45" s="302" t="n">
        <x:v>29527941</x:v>
      </x:c>
      <x:c r="F45" s="305" t="n">
        <x:v>66963</x:v>
      </x:c>
      <x:c r="G45" s="308" t="n">
        <x:v>0.13182128073203614</x:v>
      </x:c>
      <x:c r="H45" s="308" t="n">
        <x:v>0.9023412487691325</x:v>
      </x:c>
      <x:c r="I45" s="302" t="n">
        <x:v>38661</x:v>
      </x:c>
      <x:c r="J45" s="302" t="n">
        <x:v>763140903</x:v>
      </x:c>
      <x:c r="K45" s="311" t="n">
        <x:f>I45/E45*100000</x:f>
        <x:v>130.9302263913356</x:v>
      </x:c>
      <x:c r="L45" s="314" t="n">
        <x:f>J45/E45</x:f>
        <x:v>25.84470427518126</x:v>
      </x:c>
      <x:c r="M45" s="305" t="n">
        <x:f>J45/I45</x:f>
        <x:v>19739.295491580662</x:v>
      </x:c>
      <x:c r="N45" s="299" t="str">
        <x:v>https://www.ic3.gov/AnnualReport/Reports/2022_IC3Report.pdf</x:v>
      </x:c>
      <x:c r="O45" s="299" t="str">
        <x:v>https://www.census.gov/programs-surveys/acs/data/summary-file.2021.html</x:v>
      </x:c>
    </x:row>
    <x:row r="46">
      <x:c r="A46" s="299" t="n">
        <x:v>2022</x:v>
      </x:c>
      <x:c r="B46" s="299" t="str">
        <x:v>Utah</x:v>
      </x:c>
      <x:c r="C46" s="299" t="str">
        <x:v>West</x:v>
      </x:c>
      <x:c r="D46" s="299" t="n">
        <x:v>2021</x:v>
      </x:c>
      <x:c r="E46" s="302" t="n">
        <x:v>3337975</x:v>
      </x:c>
      <x:c r="F46" s="305" t="n">
        <x:v>79449</x:v>
      </x:c>
      <x:c r="G46" s="308" t="n">
        <x:v>0.11627408833199769</x:v>
      </x:c>
      <x:c r="H46" s="308" t="n">
        <x:v>0.9360698466362656</x:v>
      </x:c>
      <x:c r="I46" s="302" t="n">
        <x:v>4325</x:v>
      </x:c>
      <x:c r="J46" s="302" t="n">
        <x:v>98840388</x:v>
      </x:c>
      <x:c r="K46" s="311" t="n">
        <x:f>I46/E46*100000</x:f>
        <x:v>129.56957436769298</x:v>
      </x:c>
      <x:c r="L46" s="314" t="n">
        <x:f>J46/E46</x:f>
        <x:v>29.610883245081226</x:v>
      </x:c>
      <x:c r="M46" s="305" t="n">
        <x:f>J46/I46</x:f>
        <x:v>22853.268901734104</x:v>
      </x:c>
      <x:c r="N46" s="299" t="str">
        <x:v>https://www.ic3.gov/AnnualReport/Reports/2022_IC3Report.pdf</x:v>
      </x:c>
      <x:c r="O46" s="299" t="str">
        <x:v>https://www.census.gov/programs-surveys/acs/data/summary-file.2021.html</x:v>
      </x:c>
    </x:row>
    <x:row r="47">
      <x:c r="A47" s="299" t="n">
        <x:v>2022</x:v>
      </x:c>
      <x:c r="B47" s="299" t="str">
        <x:v>Vermont</x:v>
      </x:c>
      <x:c r="C47" s="299" t="str">
        <x:v>Northeast</x:v>
      </x:c>
      <x:c r="D47" s="299" t="n">
        <x:v>2021</x:v>
      </x:c>
      <x:c r="E47" s="302" t="n">
        <x:v>645570</x:v>
      </x:c>
      <x:c r="F47" s="305" t="n">
        <x:v>72431</x:v>
      </x:c>
      <x:c r="G47" s="308" t="n">
        <x:v>0.20628746688972532</x:v>
      </x:c>
      <x:c r="H47" s="308" t="n">
        <x:v>0.8967364146829877</x:v>
      </x:c>
      <x:c r="I47" s="302" t="n">
        <x:v>707</x:v>
      </x:c>
      <x:c r="J47" s="302" t="n">
        <x:v>15664834</x:v>
      </x:c>
      <x:c r="K47" s="311" t="n">
        <x:f>I47/E47*100000</x:f>
        <x:v>109.51562185355579</x:v>
      </x:c>
      <x:c r="L47" s="314" t="n">
        <x:f>J47/E47</x:f>
        <x:v>24.265120746007405</x:v>
      </x:c>
      <x:c r="M47" s="305" t="n">
        <x:f>J47/I47</x:f>
        <x:v>22156.766619519094</x:v>
      </x:c>
      <x:c r="N47" s="299" t="str">
        <x:v>https://www.ic3.gov/AnnualReport/Reports/2022_IC3Report.pdf</x:v>
      </x:c>
      <x:c r="O47" s="299" t="str">
        <x:v>https://www.census.gov/programs-surveys/acs/data/summary-file.2021.html</x:v>
      </x:c>
    </x:row>
    <x:row r="48">
      <x:c r="A48" s="299" t="n">
        <x:v>2022</x:v>
      </x:c>
      <x:c r="B48" s="299" t="str">
        <x:v>Virginia</x:v>
      </x:c>
      <x:c r="C48" s="299" t="str">
        <x:v>South</x:v>
      </x:c>
      <x:c r="D48" s="299" t="n">
        <x:v>2021</x:v>
      </x:c>
      <x:c r="E48" s="302" t="n">
        <x:v>8642274</x:v>
      </x:c>
      <x:c r="F48" s="305" t="n">
        <x:v>80963</x:v>
      </x:c>
      <x:c r="G48" s="308" t="n">
        <x:v>0.1627442036667664</x:v>
      </x:c>
      <x:c r="H48" s="308" t="n">
        <x:v>0.9077876042973338</x:v>
      </x:c>
      <x:c r="I48" s="302" t="n">
        <x:v>11882</x:v>
      </x:c>
      <x:c r="J48" s="302" t="n">
        <x:v>205462224</x:v>
      </x:c>
      <x:c r="K48" s="311" t="n">
        <x:f>I48/E48*100000</x:f>
        <x:v>137.4869623434758</x:v>
      </x:c>
      <x:c r="L48" s="314" t="n">
        <x:f>J48/E48</x:f>
        <x:v>23.77409279085574</x:v>
      </x:c>
      <x:c r="M48" s="305" t="n">
        <x:f>J48/I48</x:f>
        <x:v>17291.888907591314</x:v>
      </x:c>
      <x:c r="N48" s="299" t="str">
        <x:v>https://www.ic3.gov/AnnualReport/Reports/2022_IC3Report.pdf</x:v>
      </x:c>
      <x:c r="O48" s="299" t="str">
        <x:v>https://www.census.gov/programs-surveys/acs/data/summary-file.2021.html</x:v>
      </x:c>
    </x:row>
    <x:row r="49">
      <x:c r="A49" s="299" t="n">
        <x:v>2022</x:v>
      </x:c>
      <x:c r="B49" s="299" t="str">
        <x:v>Washington</x:v>
      </x:c>
      <x:c r="C49" s="299" t="str">
        <x:v>West</x:v>
      </x:c>
      <x:c r="D49" s="299" t="n">
        <x:v>2021</x:v>
      </x:c>
      <x:c r="E49" s="302" t="n">
        <x:v>7738692</x:v>
      </x:c>
      <x:c r="F49" s="305" t="n">
        <x:v>84247</x:v>
      </x:c>
      <x:c r="G49" s="308" t="n">
        <x:v>0.16173792677108742</x:v>
      </x:c>
      <x:c r="H49" s="308" t="n">
        <x:v>0.9361731554749682</x:v>
      </x:c>
      <x:c r="I49" s="302" t="n">
        <x:v>12432</x:v>
      </x:c>
      <x:c r="J49" s="302" t="n">
        <x:v>240923860</x:v>
      </x:c>
      <x:c r="K49" s="311" t="n">
        <x:f>I49/E49*100000</x:f>
        <x:v>160.64730318767047</x:v>
      </x:c>
      <x:c r="L49" s="314" t="n">
        <x:f>J49/E49</x:f>
        <x:v>31.132374825099642</x:v>
      </x:c>
      <x:c r="M49" s="305" t="n">
        <x:f>J49/I49</x:f>
        <x:v>19379.332368082367</x:v>
      </x:c>
      <x:c r="N49" s="299" t="str">
        <x:v>https://www.ic3.gov/AnnualReport/Reports/2022_IC3Report.pdf</x:v>
      </x:c>
      <x:c r="O49" s="299" t="str">
        <x:v>https://www.census.gov/programs-surveys/acs/data/summary-file.2021.html</x:v>
      </x:c>
    </x:row>
    <x:row r="50">
      <x:c r="A50" s="299" t="n">
        <x:v>2022</x:v>
      </x:c>
      <x:c r="B50" s="299" t="str">
        <x:v>West Virginia</x:v>
      </x:c>
      <x:c r="C50" s="299" t="str">
        <x:v>South</x:v>
      </x:c>
      <x:c r="D50" s="299" t="n">
        <x:v>2021</x:v>
      </x:c>
      <x:c r="E50" s="302" t="n">
        <x:v>1782959</x:v>
      </x:c>
      <x:c r="F50" s="305" t="n">
        <x:v>51248</x:v>
      </x:c>
      <x:c r="G50" s="308" t="n">
        <x:v>0.20683313525437208</x:v>
      </x:c>
      <x:c r="H50" s="308" t="n">
        <x:v>0.8521436552981788</x:v>
      </x:c>
      <x:c r="I50" s="302" t="n">
        <x:v>1846</x:v>
      </x:c>
      <x:c r="J50" s="302" t="n">
        <x:v>18200401</x:v>
      </x:c>
      <x:c r="K50" s="311" t="n">
        <x:f>I50/E50*100000</x:f>
        <x:v>103.53575152317019</x:v>
      </x:c>
      <x:c r="L50" s="314" t="n">
        <x:f>J50/E50</x:f>
        <x:v>10.207975057194249</x:v>
      </x:c>
      <x:c r="M50" s="305" t="n">
        <x:f>J50/I50</x:f>
        <x:v>9859.372156013002</x:v>
      </x:c>
      <x:c r="N50" s="299" t="str">
        <x:v>https://www.ic3.gov/AnnualReport/Reports/2022_IC3Report.pdf</x:v>
      </x:c>
      <x:c r="O50" s="299" t="str">
        <x:v>https://www.census.gov/programs-surveys/acs/data/summary-file.2021.html</x:v>
      </x:c>
    </x:row>
    <x:row r="51">
      <x:c r="A51" s="299" t="n">
        <x:v>2022</x:v>
      </x:c>
      <x:c r="B51" s="299" t="str">
        <x:v>Wisconsin</x:v>
      </x:c>
      <x:c r="C51" s="299" t="str">
        <x:v>Midwest</x:v>
      </x:c>
      <x:c r="D51" s="299" t="n">
        <x:v>2021</x:v>
      </x:c>
      <x:c r="E51" s="302" t="n">
        <x:v>5895908</x:v>
      </x:c>
      <x:c r="F51" s="305" t="n">
        <x:v>67125</x:v>
      </x:c>
      <x:c r="G51" s="308" t="n">
        <x:v>0.17880994750935733</x:v>
      </x:c>
      <x:c r="H51" s="308" t="n">
        <x:v>0.8994681567529398</x:v>
      </x:c>
      <x:c r="I51" s="302" t="n">
        <x:v>7863</x:v>
      </x:c>
      <x:c r="J51" s="302" t="n">
        <x:v>108909445</x:v>
      </x:c>
      <x:c r="K51" s="311" t="n">
        <x:f>I51/E51*100000</x:f>
        <x:v>133.36368206559533</x:v>
      </x:c>
      <x:c r="L51" s="314" t="n">
        <x:f>J51/E51</x:f>
        <x:v>18.472039421239273</x:v>
      </x:c>
      <x:c r="M51" s="305" t="n">
        <x:f>J51/I51</x:f>
        <x:v>13850.876891771588</x:v>
      </x:c>
      <x:c r="N51" s="299" t="str">
        <x:v>https://www.ic3.gov/AnnualReport/Reports/2022_IC3Report.pdf</x:v>
      </x:c>
      <x:c r="O51" s="299" t="str">
        <x:v>https://www.census.gov/programs-surveys/acs/data/summary-file.2021.html</x:v>
      </x:c>
    </x:row>
    <x:row r="52">
      <x:c r="A52" s="299" t="n">
        <x:v>2022</x:v>
      </x:c>
      <x:c r="B52" s="299" t="str">
        <x:v>Wyoming</x:v>
      </x:c>
      <x:c r="C52" s="299" t="str">
        <x:v>West</x:v>
      </x:c>
      <x:c r="D52" s="299" t="n">
        <x:v>2021</x:v>
      </x:c>
      <x:c r="E52" s="302" t="n">
        <x:v>578803</x:v>
      </x:c>
      <x:c r="F52" s="305" t="n">
        <x:v>65204</x:v>
      </x:c>
      <x:c r="G52" s="308" t="n">
        <x:v>0.17937363835363673</x:v>
      </x:c>
      <x:c r="H52" s="308" t="n">
        <x:v>0.9038856827440757</x:v>
      </x:c>
      <x:c r="I52" s="302" t="n">
        <x:v>863</x:v>
      </x:c>
      <x:c r="J52" s="302" t="n">
        <x:v>17980141</x:v>
      </x:c>
      <x:c r="K52" s="311" t="n">
        <x:f>I52/E52*100000</x:f>
        <x:v>149.10081668546985</x:v>
      </x:c>
      <x:c r="L52" s="314" t="n">
        <x:f>J52/E52</x:f>
        <x:v>31.064353501968718</x:v>
      </x:c>
      <x:c r="M52" s="305" t="n">
        <x:f>J52/I52</x:f>
        <x:v>20834.462340672075</x:v>
      </x:c>
      <x:c r="N52" s="299" t="str">
        <x:v>https://www.ic3.gov/AnnualReport/Reports/2022_IC3Report.pdf</x:v>
      </x:c>
      <x:c r="O52" s="299" t="str">
        <x:v>https://www.census.gov/programs-surveys/acs/data/summary-file.2021.html</x:v>
      </x:c>
    </x:row>
    <x:row r="53">
      <x:c r="A53" s="299" t="n">
        <x:v>2023</x:v>
      </x:c>
      <x:c r="B53" s="299" t="str">
        <x:v>Alabama</x:v>
      </x:c>
      <x:c r="C53" s="299" t="str">
        <x:v>South</x:v>
      </x:c>
      <x:c r="D53" s="299" t="n">
        <x:v>2022</x:v>
      </x:c>
      <x:c r="E53" s="302" t="n">
        <x:v>5074296</x:v>
      </x:c>
      <x:c r="F53" s="305" t="n">
        <x:v>59674</x:v>
      </x:c>
      <x:c r="G53" s="308" t="n">
        <x:v>0.17992899901779477</x:v>
      </x:c>
      <x:c r="H53" s="308" t="n">
        <x:v>0.8764128804710064</x:v>
      </x:c>
      <x:c r="I53" s="302" t="n">
        <x:v>5763</x:v>
      </x:c>
      <x:c r="J53" s="302" t="n">
        <x:v>96479649</x:v>
      </x:c>
      <x:c r="K53" s="311" t="n">
        <x:f>I53/E53*100000</x:f>
        <x:v>113.57240492080084</x:v>
      </x:c>
      <x:c r="L53" s="314" t="n">
        <x:f>J53/E53</x:f>
        <x:v>19.013405800528783</x:v>
      </x:c>
      <x:c r="M53" s="305" t="n">
        <x:f>J53/I53</x:f>
        <x:v>16741.219677251433</x:v>
      </x:c>
      <x:c r="N53" s="299" t="str">
        <x:v>https://www.ic3.gov/AnnualReport/Reports/2023_IC3Report.pdf</x:v>
      </x:c>
      <x:c r="O53" s="299" t="str">
        <x:v>https://www.census.gov/programs-surveys/acs/data/summary-file.2022.html</x:v>
      </x:c>
    </x:row>
    <x:row r="54">
      <x:c r="A54" s="299" t="n">
        <x:v>2023</x:v>
      </x:c>
      <x:c r="B54" s="299" t="str">
        <x:v>Alaska</x:v>
      </x:c>
      <x:c r="C54" s="299" t="str">
        <x:v>West</x:v>
      </x:c>
      <x:c r="D54" s="299" t="n">
        <x:v>2022</x:v>
      </x:c>
      <x:c r="E54" s="302" t="n">
        <x:v>733583</x:v>
      </x:c>
      <x:c r="F54" s="305" t="n">
        <x:v>88121</x:v>
      </x:c>
      <x:c r="G54" s="308" t="n">
        <x:v>0.13832654246349765</x:v>
      </x:c>
      <x:c r="H54" s="308" t="n">
        <x:v>0.9187942048409536</x:v>
      </x:c>
      <x:c r="I54" s="302" t="n">
        <x:v>2338</x:v>
      </x:c>
      <x:c r="J54" s="302" t="n">
        <x:v>31771278</x:v>
      </x:c>
      <x:c r="K54" s="311" t="n">
        <x:f>I54/E54*100000</x:f>
        <x:v>318.7096756604229</x:v>
      </x:c>
      <x:c r="L54" s="314" t="n">
        <x:f>J54/E54</x:f>
        <x:v>43.30972500725889</x:v>
      </x:c>
      <x:c r="M54" s="305" t="n">
        <x:f>J54/I54</x:f>
        <x:v>13589.08383233533</x:v>
      </x:c>
      <x:c r="N54" s="299" t="str">
        <x:v>https://www.ic3.gov/AnnualReport/Reports/2023_IC3Report.pdf</x:v>
      </x:c>
      <x:c r="O54" s="299" t="str">
        <x:v>https://www.census.gov/programs-surveys/acs/data/summary-file.2022.html</x:v>
      </x:c>
    </x:row>
    <x:row r="55">
      <x:c r="A55" s="299" t="n">
        <x:v>2023</x:v>
      </x:c>
      <x:c r="B55" s="299" t="str">
        <x:v>Arizona</x:v>
      </x:c>
      <x:c r="C55" s="299" t="str">
        <x:v>West</x:v>
      </x:c>
      <x:c r="D55" s="299" t="n">
        <x:v>2022</x:v>
      </x:c>
      <x:c r="E55" s="302" t="n">
        <x:v>7359197</x:v>
      </x:c>
      <x:c r="F55" s="305" t="n">
        <x:v>74568</x:v>
      </x:c>
      <x:c r="G55" s="308" t="n">
        <x:v>0.18778597719289214</x:v>
      </x:c>
      <x:c r="H55" s="308" t="n">
        <x:v>0.9123740473628577</x:v>
      </x:c>
      <x:c r="I55" s="302" t="n">
        <x:v>16584</x:v>
      </x:c>
      <x:c r="J55" s="302" t="n">
        <x:v>324352644</x:v>
      </x:c>
      <x:c r="K55" s="311" t="n">
        <x:f>I55/E55*100000</x:f>
        <x:v>225.35067344983426</x:v>
      </x:c>
      <x:c r="L55" s="314" t="n">
        <x:f>J55/E55</x:f>
        <x:v>44.074461384849464</x:v>
      </x:c>
      <x:c r="M55" s="305" t="n">
        <x:f>J55/I55</x:f>
        <x:v>19558.167149059333</x:v>
      </x:c>
      <x:c r="N55" s="299" t="str">
        <x:v>https://www.ic3.gov/AnnualReport/Reports/2023_IC3Report.pdf</x:v>
      </x:c>
      <x:c r="O55" s="299" t="str">
        <x:v>https://www.census.gov/programs-surveys/acs/data/summary-file.2022.html</x:v>
      </x:c>
    </x:row>
    <x:row r="56">
      <x:c r="A56" s="299" t="n">
        <x:v>2023</x:v>
      </x:c>
      <x:c r="B56" s="299" t="str">
        <x:v>Arkansas</x:v>
      </x:c>
      <x:c r="C56" s="299" t="str">
        <x:v>South</x:v>
      </x:c>
      <x:c r="D56" s="299" t="n">
        <x:v>2022</x:v>
      </x:c>
      <x:c r="E56" s="302" t="n">
        <x:v>3045637</x:v>
      </x:c>
      <x:c r="F56" s="305" t="n">
        <x:v>55432</x:v>
      </x:c>
      <x:c r="G56" s="308" t="n">
        <x:v>0.1769225945179941</x:v>
      </x:c>
      <x:c r="H56" s="308" t="n">
        <x:v>0.8694843887594793</x:v>
      </x:c>
      <x:c r="I56" s="302" t="n">
        <x:v>3220</x:v>
      </x:c>
      <x:c r="J56" s="302" t="n">
        <x:v>46585087</x:v>
      </x:c>
      <x:c r="K56" s="311" t="n">
        <x:f>I56/E56*100000</x:f>
        <x:v>105.7250092509383</x:v>
      </x:c>
      <x:c r="L56" s="314" t="n">
        <x:f>J56/E56</x:f>
        <x:v>15.295679360343994</x:v>
      </x:c>
      <x:c r="M56" s="305" t="n">
        <x:f>J56/I56</x:f>
        <x:v>14467.418322981366</x:v>
      </x:c>
      <x:c r="N56" s="299" t="str">
        <x:v>https://www.ic3.gov/AnnualReport/Reports/2023_IC3Report.pdf</x:v>
      </x:c>
      <x:c r="O56" s="299" t="str">
        <x:v>https://www.census.gov/programs-surveys/acs/data/summary-file.2022.html</x:v>
      </x:c>
    </x:row>
    <x:row r="57">
      <x:c r="A57" s="299" t="n">
        <x:v>2023</x:v>
      </x:c>
      <x:c r="B57" s="299" t="str">
        <x:v>California</x:v>
      </x:c>
      <x:c r="C57" s="299" t="str">
        <x:v>West</x:v>
      </x:c>
      <x:c r="D57" s="299" t="n">
        <x:v>2022</x:v>
      </x:c>
      <x:c r="E57" s="302" t="n">
        <x:v>39029342</x:v>
      </x:c>
      <x:c r="F57" s="305" t="n">
        <x:v>91551</x:v>
      </x:c>
      <x:c r="G57" s="308" t="n">
        <x:v>0.15780184047171483</x:v>
      </x:c>
      <x:c r="H57" s="308" t="n">
        <x:v>0.9353104729197689</x:v>
      </x:c>
      <x:c r="I57" s="302" t="n">
        <x:v>77271</x:v>
      </x:c>
      <x:c r="J57" s="302" t="n">
        <x:v>2159454513</x:v>
      </x:c>
      <x:c r="K57" s="311" t="n">
        <x:f>I57/E57*100000</x:f>
        <x:v>197.98181583486596</x:v>
      </x:c>
      <x:c r="L57" s="314" t="n">
        <x:f>J57/E57</x:f>
        <x:v>55.32900126781538</x:v>
      </x:c>
      <x:c r="M57" s="305" t="n">
        <x:f>J57/I57</x:f>
        <x:v>27946.506619559732</x:v>
      </x:c>
      <x:c r="N57" s="299" t="str">
        <x:v>https://www.ic3.gov/AnnualReport/Reports/2023_IC3Report.pdf</x:v>
      </x:c>
      <x:c r="O57" s="299" t="str">
        <x:v>https://www.census.gov/programs-surveys/acs/data/summary-file.2022.html</x:v>
      </x:c>
    </x:row>
    <x:row r="58">
      <x:c r="A58" s="299" t="n">
        <x:v>2023</x:v>
      </x:c>
      <x:c r="B58" s="299" t="str">
        <x:v>Colorado</x:v>
      </x:c>
      <x:c r="C58" s="299" t="str">
        <x:v>West</x:v>
      </x:c>
      <x:c r="D58" s="299" t="n">
        <x:v>2022</x:v>
      </x:c>
      <x:c r="E58" s="302" t="n">
        <x:v>5839926</x:v>
      </x:c>
      <x:c r="F58" s="305" t="n">
        <x:v>89302</x:v>
      </x:c>
      <x:c r="G58" s="308" t="n">
        <x:v>0.15679325388712118</x:v>
      </x:c>
      <x:c r="H58" s="308" t="n">
        <x:v>0.9333460259735031</x:v>
      </x:c>
      <x:c r="I58" s="302" t="n">
        <x:v>11475</x:v>
      </x:c>
      <x:c r="J58" s="302" t="n">
        <x:v>187621731</x:v>
      </x:c>
      <x:c r="K58" s="311" t="n">
        <x:f>I58/E58*100000</x:f>
        <x:v>196.49221582602243</x:v>
      </x:c>
      <x:c r="L58" s="314" t="n">
        <x:f>J58/E58</x:f>
        <x:v>32.127415826844384</x:v>
      </x:c>
      <x:c r="M58" s="305" t="n">
        <x:f>J58/I58</x:f>
        <x:v>16350.477647058824</x:v>
      </x:c>
      <x:c r="N58" s="299" t="str">
        <x:v>https://www.ic3.gov/AnnualReport/Reports/2023_IC3Report.pdf</x:v>
      </x:c>
      <x:c r="O58" s="299" t="str">
        <x:v>https://www.census.gov/programs-surveys/acs/data/summary-file.2022.html</x:v>
      </x:c>
    </x:row>
    <x:row r="59">
      <x:c r="A59" s="299" t="n">
        <x:v>2023</x:v>
      </x:c>
      <x:c r="B59" s="299" t="str">
        <x:v>Connecticut</x:v>
      </x:c>
      <x:c r="C59" s="299" t="str">
        <x:v>Northeast</x:v>
      </x:c>
      <x:c r="D59" s="299" t="n">
        <x:v>2022</x:v>
      </x:c>
      <x:c r="E59" s="302" t="n">
        <x:v>3626205</x:v>
      </x:c>
      <x:c r="F59" s="305" t="n">
        <x:v>88429</x:v>
      </x:c>
      <x:c r="G59" s="308" t="n">
        <x:v>0.18303212311493694</x:v>
      </x:c>
      <x:c r="H59" s="308" t="n">
        <x:v>0.9217848336571024</x:v>
      </x:c>
      <x:c r="I59" s="302" t="n">
        <x:v>5216</x:v>
      </x:c>
      <x:c r="J59" s="302" t="n">
        <x:v>120767349</x:v>
      </x:c>
      <x:c r="K59" s="311" t="n">
        <x:f>I59/E59*100000</x:f>
        <x:v>143.841840160719</x:v>
      </x:c>
      <x:c r="L59" s="314" t="n">
        <x:f>J59/E59</x:f>
        <x:v>33.30406002970047</x:v>
      </x:c>
      <x:c r="M59" s="305" t="n">
        <x:f>J59/I59</x:f>
        <x:v>23153.249424846625</x:v>
      </x:c>
      <x:c r="N59" s="299" t="str">
        <x:v>https://www.ic3.gov/AnnualReport/Reports/2023_IC3Report.pdf</x:v>
      </x:c>
      <x:c r="O59" s="299" t="str">
        <x:v>https://www.census.gov/programs-surveys/acs/data/summary-file.2022.html</x:v>
      </x:c>
    </x:row>
    <x:row r="60">
      <x:c r="A60" s="299" t="n">
        <x:v>2023</x:v>
      </x:c>
      <x:c r="B60" s="299" t="str">
        <x:v>Delaware</x:v>
      </x:c>
      <x:c r="C60" s="299" t="str">
        <x:v>South</x:v>
      </x:c>
      <x:c r="D60" s="299" t="n">
        <x:v>2022</x:v>
      </x:c>
      <x:c r="E60" s="302" t="n">
        <x:v>1018396</x:v>
      </x:c>
      <x:c r="F60" s="305" t="n">
        <x:v>82174</x:v>
      </x:c>
      <x:c r="G60" s="308" t="n">
        <x:v>0.20834724409758093</x:v>
      </x:c>
      <x:c r="H60" s="308" t="n">
        <x:v>0.9269810654829073</x:v>
      </x:c>
      <x:c r="I60" s="302" t="n">
        <x:v>2687</x:v>
      </x:c>
      <x:c r="J60" s="302" t="n">
        <x:v>35376770</x:v>
      </x:c>
      <x:c r="K60" s="311" t="n">
        <x:f>I60/E60*100000</x:f>
        <x:v>263.8462837638797</x:v>
      </x:c>
      <x:c r="L60" s="314" t="n">
        <x:f>J60/E60</x:f>
        <x:v>34.73773463367884</x:v>
      </x:c>
      <x:c r="M60" s="305" t="n">
        <x:f>J60/I60</x:f>
        <x:v>13165.898771864533</x:v>
      </x:c>
      <x:c r="N60" s="299" t="str">
        <x:v>https://www.ic3.gov/AnnualReport/Reports/2023_IC3Report.pdf</x:v>
      </x:c>
      <x:c r="O60" s="299" t="str">
        <x:v>https://www.census.gov/programs-surveys/acs/data/summary-file.2022.html</x:v>
      </x:c>
    </x:row>
    <x:row r="61">
      <x:c r="A61" s="299" t="n">
        <x:v>2023</x:v>
      </x:c>
      <x:c r="B61" s="299" t="str">
        <x:v>District of Columbia</x:v>
      </x:c>
      <x:c r="C61" s="299" t="str">
        <x:v>South</x:v>
      </x:c>
      <x:c r="D61" s="299" t="n">
        <x:v>2022</x:v>
      </x:c>
      <x:c r="E61" s="302" t="n">
        <x:v>671803</x:v>
      </x:c>
      <x:c r="F61" s="305" t="n">
        <x:v>101027</x:v>
      </x:c>
      <x:c r="G61" s="308" t="n">
        <x:v>0.1300291901048373</x:v>
      </x:c>
      <x:c r="H61" s="308" t="n">
        <x:v>0.9297152643973453</x:v>
      </x:c>
      <x:c r="I61" s="302" t="n">
        <x:v>3769</x:v>
      </x:c>
      <x:c r="J61" s="302" t="n">
        <x:v>46142350</x:v>
      </x:c>
      <x:c r="K61" s="311" t="n">
        <x:f>I61/E61*100000</x:f>
        <x:v>561.0275631397894</x:v>
      </x:c>
      <x:c r="L61" s="314" t="n">
        <x:f>J61/E61</x:f>
        <x:v>68.68434645275475</x:v>
      </x:c>
      <x:c r="M61" s="305" t="n">
        <x:f>J61/I61</x:f>
        <x:v>12242.597505969754</x:v>
      </x:c>
      <x:c r="N61" s="299" t="str">
        <x:v>https://www.ic3.gov/AnnualReport/Reports/2023_IC3Report.pdf</x:v>
      </x:c>
      <x:c r="O61" s="299" t="str">
        <x:v>https://www.census.gov/programs-surveys/acs/data/summary-file.2022.html</x:v>
      </x:c>
    </x:row>
    <x:row r="62">
      <x:c r="A62" s="299" t="n">
        <x:v>2023</x:v>
      </x:c>
      <x:c r="B62" s="299" t="str">
        <x:v>Florida</x:v>
      </x:c>
      <x:c r="C62" s="299" t="str">
        <x:v>South</x:v>
      </x:c>
      <x:c r="D62" s="299" t="n">
        <x:v>2022</x:v>
      </x:c>
      <x:c r="E62" s="302" t="n">
        <x:v>22244823</x:v>
      </x:c>
      <x:c r="F62" s="305" t="n">
        <x:v>69303</x:v>
      </x:c>
      <x:c r="G62" s="308" t="n">
        <x:v>0.21552942902714936</x:v>
      </x:c>
      <x:c r="H62" s="308" t="n">
        <x:v>0.9175743797523654</x:v>
      </x:c>
      <x:c r="I62" s="302" t="n">
        <x:v>41061</x:v>
      </x:c>
      <x:c r="J62" s="302" t="n">
        <x:v>874725493</x:v>
      </x:c>
      <x:c r="K62" s="311" t="n">
        <x:f>I62/E62*100000</x:f>
        <x:v>184.58676879559798</x:v>
      </x:c>
      <x:c r="L62" s="314" t="n">
        <x:f>J62/E62</x:f>
        <x:v>39.322654668908804</x:v>
      </x:c>
      <x:c r="M62" s="305" t="n">
        <x:f>J62/I62</x:f>
        <x:v>21303.073305569764</x:v>
      </x:c>
      <x:c r="N62" s="299" t="str">
        <x:v>https://www.ic3.gov/AnnualReport/Reports/2023_IC3Report.pdf</x:v>
      </x:c>
      <x:c r="O62" s="299" t="str">
        <x:v>https://www.census.gov/programs-surveys/acs/data/summary-file.2022.html</x:v>
      </x:c>
    </x:row>
    <x:row r="63">
      <x:c r="A63" s="299" t="n">
        <x:v>2023</x:v>
      </x:c>
      <x:c r="B63" s="299" t="str">
        <x:v>Georgia</x:v>
      </x:c>
      <x:c r="C63" s="299" t="str">
        <x:v>South</x:v>
      </x:c>
      <x:c r="D63" s="299" t="n">
        <x:v>2022</x:v>
      </x:c>
      <x:c r="E63" s="302" t="n">
        <x:v>10912876</x:v>
      </x:c>
      <x:c r="F63" s="305" t="n">
        <x:v>72837</x:v>
      </x:c>
      <x:c r="G63" s="308" t="n">
        <x:v>0.15067292984910668</x:v>
      </x:c>
      <x:c r="H63" s="308" t="n">
        <x:v>0.9125446827060548</x:v>
      </x:c>
      <x:c r="I63" s="302" t="n">
        <x:v>13917</x:v>
      </x:c>
      <x:c r="J63" s="302" t="n">
        <x:v>301001997</x:v>
      </x:c>
      <x:c r="K63" s="311" t="n">
        <x:f>I63/E63*100000</x:f>
        <x:v>127.52825194751595</x:v>
      </x:c>
      <x:c r="L63" s="314" t="n">
        <x:f>J63/E63</x:f>
        <x:v>27.582279593390414</x:v>
      </x:c>
      <x:c r="M63" s="305" t="n">
        <x:f>J63/I63</x:f>
        <x:v>21628.367967234317</x:v>
      </x:c>
      <x:c r="N63" s="299" t="str">
        <x:v>https://www.ic3.gov/AnnualReport/Reports/2023_IC3Report.pdf</x:v>
      </x:c>
      <x:c r="O63" s="299" t="str">
        <x:v>https://www.census.gov/programs-surveys/acs/data/summary-file.2022.html</x:v>
      </x:c>
    </x:row>
    <x:row r="64">
      <x:c r="A64" s="299" t="n">
        <x:v>2023</x:v>
      </x:c>
      <x:c r="B64" s="299" t="str">
        <x:v>Hawaii</x:v>
      </x:c>
      <x:c r="C64" s="299" t="str">
        <x:v>West</x:v>
      </x:c>
      <x:c r="D64" s="299" t="n">
        <x:v>2022</x:v>
      </x:c>
      <x:c r="E64" s="302" t="n">
        <x:v>1440196</x:v>
      </x:c>
      <x:c r="F64" s="305" t="n">
        <x:v>92458</x:v>
      </x:c>
      <x:c r="G64" s="308" t="n">
        <x:v>0.2045929859546895</x:v>
      </x:c>
      <x:c r="H64" s="308" t="n">
        <x:v>0.9132040086737385</x:v>
      </x:c>
      <x:c r="I64" s="302" t="n">
        <x:v>1954</x:v>
      </x:c>
      <x:c r="J64" s="302" t="n">
        <x:v>51722052</x:v>
      </x:c>
      <x:c r="K64" s="311" t="n">
        <x:f>I64/E64*100000</x:f>
        <x:v>135.67597743640448</x:v>
      </x:c>
      <x:c r="L64" s="314" t="n">
        <x:f>J64/E64</x:f>
        <x:v>35.91320348063736</x:v>
      </x:c>
      <x:c r="M64" s="305" t="n">
        <x:f>J64/I64</x:f>
        <x:v>26469.832139201637</x:v>
      </x:c>
      <x:c r="N64" s="299" t="str">
        <x:v>https://www.ic3.gov/AnnualReport/Reports/2023_IC3Report.pdf</x:v>
      </x:c>
      <x:c r="O64" s="299" t="str">
        <x:v>https://www.census.gov/programs-surveys/acs/data/summary-file.2022.html</x:v>
      </x:c>
    </x:row>
    <x:row r="65">
      <x:c r="A65" s="299" t="n">
        <x:v>2023</x:v>
      </x:c>
      <x:c r="B65" s="299" t="str">
        <x:v>Idaho</x:v>
      </x:c>
      <x:c r="C65" s="299" t="str">
        <x:v>West</x:v>
      </x:c>
      <x:c r="D65" s="299" t="n">
        <x:v>2022</x:v>
      </x:c>
      <x:c r="E65" s="302" t="n">
        <x:v>1939033</x:v>
      </x:c>
      <x:c r="F65" s="305" t="n">
        <x:v>72785</x:v>
      </x:c>
      <x:c r="G65" s="308" t="n">
        <x:v>0.1699455347072484</x:v>
      </x:c>
      <x:c r="H65" s="308" t="n">
        <x:v>0.9218449113227201</x:v>
      </x:c>
      <x:c r="I65" s="302" t="n">
        <x:v>2240</x:v>
      </x:c>
      <x:c r="J65" s="302" t="n">
        <x:v>50631580</x:v>
      </x:c>
      <x:c r="K65" s="311" t="n">
        <x:f>I65/E65*100000</x:f>
        <x:v>115.52149963409597</x:v>
      </x:c>
      <x:c r="L65" s="314" t="n">
        <x:f>J65/E65</x:f>
        <x:v>26.11176808233795</x:v>
      </x:c>
      <x:c r="M65" s="305" t="n">
        <x:f>J65/I65</x:f>
        <x:v>22603.383928571428</x:v>
      </x:c>
      <x:c r="N65" s="299" t="str">
        <x:v>https://www.ic3.gov/AnnualReport/Reports/2023_IC3Report.pdf</x:v>
      </x:c>
      <x:c r="O65" s="299" t="str">
        <x:v>https://www.census.gov/programs-surveys/acs/data/summary-file.2022.html</x:v>
      </x:c>
    </x:row>
    <x:row r="66">
      <x:c r="A66" s="299" t="n">
        <x:v>2023</x:v>
      </x:c>
      <x:c r="B66" s="299" t="str">
        <x:v>Illinois</x:v>
      </x:c>
      <x:c r="C66" s="299" t="str">
        <x:v>Midwest</x:v>
      </x:c>
      <x:c r="D66" s="299" t="n">
        <x:v>2022</x:v>
      </x:c>
      <x:c r="E66" s="302" t="n">
        <x:v>12582032</x:v>
      </x:c>
      <x:c r="F66" s="305" t="n">
        <x:v>76708</x:v>
      </x:c>
      <x:c r="G66" s="308" t="n">
        <x:v>0.1720660065083287</x:v>
      </x:c>
      <x:c r="H66" s="308" t="n">
        <x:v>0.9082879779129649</x:v>
      </x:c>
      <x:c r="I66" s="302" t="n">
        <x:v>15783</x:v>
      </x:c>
      <x:c r="J66" s="302" t="n">
        <x:v>335764223</x:v>
      </x:c>
      <x:c r="K66" s="311" t="n">
        <x:f>I66/E66*100000</x:f>
        <x:v>125.44078730685155</x:v>
      </x:c>
      <x:c r="L66" s="314" t="n">
        <x:f>J66/E66</x:f>
        <x:v>26.686009302789884</x:v>
      </x:c>
      <x:c r="M66" s="305" t="n">
        <x:f>J66/I66</x:f>
        <x:v>21273.78971044795</x:v>
      </x:c>
      <x:c r="N66" s="299" t="str">
        <x:v>https://www.ic3.gov/AnnualReport/Reports/2023_IC3Report.pdf</x:v>
      </x:c>
      <x:c r="O66" s="299" t="str">
        <x:v>https://www.census.gov/programs-surveys/acs/data/summary-file.2022.html</x:v>
      </x:c>
    </x:row>
    <x:row r="67">
      <x:c r="A67" s="299" t="n">
        <x:v>2023</x:v>
      </x:c>
      <x:c r="B67" s="299" t="str">
        <x:v>Indiana</x:v>
      </x:c>
      <x:c r="C67" s="299" t="str">
        <x:v>Midwest</x:v>
      </x:c>
      <x:c r="D67" s="299" t="n">
        <x:v>2022</x:v>
      </x:c>
      <x:c r="E67" s="302" t="n">
        <x:v>6833037</x:v>
      </x:c>
      <x:c r="F67" s="305" t="n">
        <x:v>66785</x:v>
      </x:c>
      <x:c r="G67" s="308" t="n">
        <x:v>0.1693867602356024</x:v>
      </x:c>
      <x:c r="H67" s="308" t="n">
        <x:v>0.90209459858448</x:v>
      </x:c>
      <x:c r="I67" s="302" t="n">
        <x:v>11097</x:v>
      </x:c>
      <x:c r="J67" s="302" t="n">
        <x:v>162259036</x:v>
      </x:c>
      <x:c r="K67" s="311" t="n">
        <x:f>I67/E67*100000</x:f>
        <x:v>162.40216465972597</x:v>
      </x:c>
      <x:c r="L67" s="314" t="n">
        <x:f>J67/E67</x:f>
        <x:v>23.746254557087866</x:v>
      </x:c>
      <x:c r="M67" s="305" t="n">
        <x:f>J67/I67</x:f>
        <x:v>14621.883031449941</x:v>
      </x:c>
      <x:c r="N67" s="299" t="str">
        <x:v>https://www.ic3.gov/AnnualReport/Reports/2023_IC3Report.pdf</x:v>
      </x:c>
      <x:c r="O67" s="299" t="str">
        <x:v>https://www.census.gov/programs-surveys/acs/data/summary-file.2022.html</x:v>
      </x:c>
    </x:row>
    <x:row r="68">
      <x:c r="A68" s="299" t="n">
        <x:v>2023</x:v>
      </x:c>
      <x:c r="B68" s="299" t="str">
        <x:v>Iowa</x:v>
      </x:c>
      <x:c r="C68" s="299" t="str">
        <x:v>Midwest</x:v>
      </x:c>
      <x:c r="D68" s="299" t="n">
        <x:v>2022</x:v>
      </x:c>
      <x:c r="E68" s="302" t="n">
        <x:v>3200517</x:v>
      </x:c>
      <x:c r="F68" s="305" t="n">
        <x:v>69588</x:v>
      </x:c>
      <x:c r="G68" s="308" t="n">
        <x:v>0.18399496081414346</x:v>
      </x:c>
      <x:c r="H68" s="308" t="n">
        <x:v>0.8985721208569529</x:v>
      </x:c>
      <x:c r="I68" s="302" t="n">
        <x:v>3723</x:v>
      </x:c>
      <x:c r="J68" s="302" t="n">
        <x:v>59829482</x:v>
      </x:c>
      <x:c r="K68" s="311" t="n">
        <x:f>I68/E68*100000</x:f>
        <x:v>116.32495624925598</x:v>
      </x:c>
      <x:c r="L68" s="314" t="n">
        <x:f>J68/E68</x:f>
        <x:v>18.693692925236768</x:v>
      </x:c>
      <x:c r="M68" s="305" t="n">
        <x:f>J68/I68</x:f>
        <x:v>16070.234219715283</x:v>
      </x:c>
      <x:c r="N68" s="299" t="str">
        <x:v>https://www.ic3.gov/AnnualReport/Reports/2023_IC3Report.pdf</x:v>
      </x:c>
      <x:c r="O68" s="299" t="str">
        <x:v>https://www.census.gov/programs-surveys/acs/data/summary-file.2022.html</x:v>
      </x:c>
    </x:row>
    <x:row r="69">
      <x:c r="A69" s="299" t="n">
        <x:v>2023</x:v>
      </x:c>
      <x:c r="B69" s="299" t="str">
        <x:v>Kansas</x:v>
      </x:c>
      <x:c r="C69" s="299" t="str">
        <x:v>Midwest</x:v>
      </x:c>
      <x:c r="D69" s="299" t="n">
        <x:v>2022</x:v>
      </x:c>
      <x:c r="E69" s="302" t="n">
        <x:v>2937150</x:v>
      </x:c>
      <x:c r="F69" s="305" t="n">
        <x:v>68925</x:v>
      </x:c>
      <x:c r="G69" s="308" t="n">
        <x:v>0.17239228503821732</x:v>
      </x:c>
      <x:c r="H69" s="308" t="n">
        <x:v>0.9094890299788819</x:v>
      </x:c>
      <x:c r="I69" s="302" t="n">
        <x:v>2894</x:v>
      </x:c>
      <x:c r="J69" s="302" t="n">
        <x:v>94158337</x:v>
      </x:c>
      <x:c r="K69" s="311" t="n">
        <x:f>I69/E69*100000</x:f>
        <x:v>98.53088878674906</x:v>
      </x:c>
      <x:c r="L69" s="314" t="n">
        <x:f>J69/E69</x:f>
        <x:v>32.057721600871595</x:v>
      </x:c>
      <x:c r="M69" s="305" t="n">
        <x:f>J69/I69</x:f>
        <x:v>32535.707325501036</x:v>
      </x:c>
      <x:c r="N69" s="299" t="str">
        <x:v>https://www.ic3.gov/AnnualReport/Reports/2023_IC3Report.pdf</x:v>
      </x:c>
      <x:c r="O69" s="299" t="str">
        <x:v>https://www.census.gov/programs-surveys/acs/data/summary-file.2022.html</x:v>
      </x:c>
    </x:row>
    <x:row r="70">
      <x:c r="A70" s="299" t="n">
        <x:v>2023</x:v>
      </x:c>
      <x:c r="B70" s="299" t="str">
        <x:v>Kentucky</x:v>
      </x:c>
      <x:c r="C70" s="299" t="str">
        <x:v>South</x:v>
      </x:c>
      <x:c r="D70" s="299" t="n">
        <x:v>2022</x:v>
      </x:c>
      <x:c r="E70" s="302" t="n">
        <x:v>4512310</x:v>
      </x:c>
      <x:c r="F70" s="305" t="n">
        <x:v>59341</x:v>
      </x:c>
      <x:c r="G70" s="308" t="n">
        <x:v>0.17532328230994768</x:v>
      </x:c>
      <x:c r="H70" s="308" t="n">
        <x:v>0.8919876632324956</x:v>
      </x:c>
      <x:c r="I70" s="302" t="n">
        <x:v>4641</x:v>
      </x:c>
      <x:c r="J70" s="302" t="n">
        <x:v>48746051</x:v>
      </x:c>
      <x:c r="K70" s="311" t="n">
        <x:f>I70/E70*100000</x:f>
        <x:v>102.8519760388803</x:v>
      </x:c>
      <x:c r="L70" s="314" t="n">
        <x:f>J70/E70</x:f>
        <x:v>10.802903834178059</x:v>
      </x:c>
      <x:c r="M70" s="305" t="n">
        <x:f>J70/I70</x:f>
        <x:v>10503.350786468434</x:v>
      </x:c>
      <x:c r="N70" s="299" t="str">
        <x:v>https://www.ic3.gov/AnnualReport/Reports/2023_IC3Report.pdf</x:v>
      </x:c>
      <x:c r="O70" s="299" t="str">
        <x:v>https://www.census.gov/programs-surveys/acs/data/summary-file.2022.html</x:v>
      </x:c>
    </x:row>
    <x:row r="71">
      <x:c r="A71" s="299" t="n">
        <x:v>2023</x:v>
      </x:c>
      <x:c r="B71" s="299" t="str">
        <x:v>Louisiana</x:v>
      </x:c>
      <x:c r="C71" s="299" t="str">
        <x:v>South</x:v>
      </x:c>
      <x:c r="D71" s="299" t="n">
        <x:v>2022</x:v>
      </x:c>
      <x:c r="E71" s="302" t="n">
        <x:v>4590241</x:v>
      </x:c>
      <x:c r="F71" s="305" t="n">
        <x:v>55416</x:v>
      </x:c>
      <x:c r="G71" s="308" t="n">
        <x:v>0.1699390075597338</x:v>
      </x:c>
      <x:c r="H71" s="308" t="n">
        <x:v>0.854980070471605</x:v>
      </x:c>
      <x:c r="I71" s="302" t="n">
        <x:v>4890</x:v>
      </x:c>
      <x:c r="J71" s="302" t="n">
        <x:v>78286085</x:v>
      </x:c>
      <x:c r="K71" s="311" t="n">
        <x:f>I71/E71*100000</x:f>
        <x:v>106.53035428858746</x:v>
      </x:c>
      <x:c r="L71" s="314" t="n">
        <x:f>J71/E71</x:f>
        <x:v>17.054896464041867</x:v>
      </x:c>
      <x:c r="M71" s="305" t="n">
        <x:f>J71/I71</x:f>
        <x:v>16009.424335378322</x:v>
      </x:c>
      <x:c r="N71" s="299" t="str">
        <x:v>https://www.ic3.gov/AnnualReport/Reports/2023_IC3Report.pdf</x:v>
      </x:c>
      <x:c r="O71" s="299" t="str">
        <x:v>https://www.census.gov/programs-surveys/acs/data/summary-file.2022.html</x:v>
      </x:c>
    </x:row>
    <x:row r="72">
      <x:c r="A72" s="299" t="n">
        <x:v>2023</x:v>
      </x:c>
      <x:c r="B72" s="299" t="str">
        <x:v>Maine</x:v>
      </x:c>
      <x:c r="C72" s="299" t="str">
        <x:v>Northeast</x:v>
      </x:c>
      <x:c r="D72" s="299" t="n">
        <x:v>2022</x:v>
      </x:c>
      <x:c r="E72" s="302" t="n">
        <x:v>1385340</x:v>
      </x:c>
      <x:c r="F72" s="305" t="n">
        <x:v>69543</x:v>
      </x:c>
      <x:c r="G72" s="308" t="n">
        <x:v>0.22586007767046357</x:v>
      </x:c>
      <x:c r="H72" s="308" t="n">
        <x:v>0.9102352735166138</x:v>
      </x:c>
      <x:c r="I72" s="302" t="n">
        <x:v>1626</x:v>
      </x:c>
      <x:c r="J72" s="302" t="n">
        <x:v>18968567</x:v>
      </x:c>
      <x:c r="K72" s="311" t="n">
        <x:f>I72/E72*100000</x:f>
        <x:v>117.37190870111309</x:v>
      </x:c>
      <x:c r="L72" s="314" t="n">
        <x:f>J72/E72</x:f>
        <x:v>13.692354945356374</x:v>
      </x:c>
      <x:c r="M72" s="305" t="n">
        <x:f>J72/I72</x:f>
        <x:v>11665.785362853629</x:v>
      </x:c>
      <x:c r="N72" s="299" t="str">
        <x:v>https://www.ic3.gov/AnnualReport/Reports/2023_IC3Report.pdf</x:v>
      </x:c>
      <x:c r="O72" s="299" t="str">
        <x:v>https://www.census.gov/programs-surveys/acs/data/summary-file.2022.html</x:v>
      </x:c>
    </x:row>
    <x:row r="73">
      <x:c r="A73" s="299" t="n">
        <x:v>2023</x:v>
      </x:c>
      <x:c r="B73" s="299" t="str">
        <x:v>Maryland</x:v>
      </x:c>
      <x:c r="C73" s="299" t="str">
        <x:v>South</x:v>
      </x:c>
      <x:c r="D73" s="299" t="n">
        <x:v>2022</x:v>
      </x:c>
      <x:c r="E73" s="302" t="n">
        <x:v>6164660</x:v>
      </x:c>
      <x:c r="F73" s="305" t="n">
        <x:v>94991</x:v>
      </x:c>
      <x:c r="G73" s="308" t="n">
        <x:v>0.16915434103421764</x:v>
      </x:c>
      <x:c r="H73" s="308" t="n">
        <x:v>0.9245508387261867</x:v>
      </x:c>
      <x:c r="I73" s="302" t="n">
        <x:v>9717</x:v>
      </x:c>
      <x:c r="J73" s="302" t="n">
        <x:v>221520527</x:v>
      </x:c>
      <x:c r="K73" s="311" t="n">
        <x:f>I73/E73*100000</x:f>
        <x:v>157.62426476074918</x:v>
      </x:c>
      <x:c r="L73" s="314" t="n">
        <x:f>J73/E73</x:f>
        <x:v>35.93394072016948</x:v>
      </x:c>
      <x:c r="M73" s="305" t="n">
        <x:f>J73/I73</x:f>
        <x:v>22797.213852011937</x:v>
      </x:c>
      <x:c r="N73" s="299" t="str">
        <x:v>https://www.ic3.gov/AnnualReport/Reports/2023_IC3Report.pdf</x:v>
      </x:c>
      <x:c r="O73" s="299" t="str">
        <x:v>https://www.census.gov/programs-surveys/acs/data/summary-file.2022.html</x:v>
      </x:c>
    </x:row>
    <x:row r="74">
      <x:c r="A74" s="299" t="n">
        <x:v>2023</x:v>
      </x:c>
      <x:c r="B74" s="299" t="str">
        <x:v>Massachusetts</x:v>
      </x:c>
      <x:c r="C74" s="299" t="str">
        <x:v>Northeast</x:v>
      </x:c>
      <x:c r="D74" s="299" t="n">
        <x:v>2022</x:v>
      </x:c>
      <x:c r="E74" s="302" t="n">
        <x:v>6981974</x:v>
      </x:c>
      <x:c r="F74" s="305" t="n">
        <x:v>94488</x:v>
      </x:c>
      <x:c r="G74" s="308" t="n">
        <x:v>0.18047904503797924</x:v>
      </x:c>
      <x:c r="H74" s="308" t="n">
        <x:v>0.9297863731764086</x:v>
      </x:c>
      <x:c r="I74" s="302" t="n">
        <x:v>9915</x:v>
      </x:c>
      <x:c r="J74" s="302" t="n">
        <x:v>235890173</x:v>
      </x:c>
      <x:c r="K74" s="311" t="n">
        <x:f>I74/E74*100000</x:f>
        <x:v>142.00854944461267</x:v>
      </x:c>
      <x:c r="L74" s="314" t="n">
        <x:f>J74/E74</x:f>
        <x:v>33.78559888650402</x:v>
      </x:c>
      <x:c r="M74" s="305" t="n">
        <x:f>J74/I74</x:f>
        <x:v>23791.24286434695</x:v>
      </x:c>
      <x:c r="N74" s="299" t="str">
        <x:v>https://www.ic3.gov/AnnualReport/Reports/2023_IC3Report.pdf</x:v>
      </x:c>
      <x:c r="O74" s="299" t="str">
        <x:v>https://www.census.gov/programs-surveys/acs/data/summary-file.2022.html</x:v>
      </x:c>
    </x:row>
    <x:row r="75">
      <x:c r="A75" s="299" t="n">
        <x:v>2023</x:v>
      </x:c>
      <x:c r="B75" s="299" t="str">
        <x:v>Michigan</x:v>
      </x:c>
      <x:c r="C75" s="299" t="str">
        <x:v>Midwest</x:v>
      </x:c>
      <x:c r="D75" s="299" t="n">
        <x:v>2022</x:v>
      </x:c>
      <x:c r="E75" s="302" t="n">
        <x:v>10034118</x:v>
      </x:c>
      <x:c r="F75" s="305" t="n">
        <x:v>66986</x:v>
      </x:c>
      <x:c r="G75" s="308" t="n">
        <x:v>0.18711779151889585</x:v>
      </x:c>
      <x:c r="H75" s="308" t="n">
        <x:v>0.906955215837277</x:v>
      </x:c>
      <x:c r="I75" s="302" t="n">
        <x:v>14784</x:v>
      </x:c>
      <x:c r="J75" s="302" t="n">
        <x:v>203445988</x:v>
      </x:c>
      <x:c r="K75" s="311" t="n">
        <x:f>I75/E75*100000</x:f>
        <x:v>147.33731455021757</x:v>
      </x:c>
      <x:c r="L75" s="314" t="n">
        <x:f>J75/E75</x:f>
        <x:v>20.275423111428427</x:v>
      </x:c>
      <x:c r="M75" s="305" t="n">
        <x:f>J75/I75</x:f>
        <x:v>13761.227543290044</x:v>
      </x:c>
      <x:c r="N75" s="299" t="str">
        <x:v>https://www.ic3.gov/AnnualReport/Reports/2023_IC3Report.pdf</x:v>
      </x:c>
      <x:c r="O75" s="299" t="str">
        <x:v>https://www.census.gov/programs-surveys/acs/data/summary-file.2022.html</x:v>
      </x:c>
    </x:row>
    <x:row r="76">
      <x:c r="A76" s="299" t="n">
        <x:v>2023</x:v>
      </x:c>
      <x:c r="B76" s="299" t="str">
        <x:v>Minnesota</x:v>
      </x:c>
      <x:c r="C76" s="299" t="str">
        <x:v>Midwest</x:v>
      </x:c>
      <x:c r="D76" s="299" t="n">
        <x:v>2022</x:v>
      </x:c>
      <x:c r="E76" s="302" t="n">
        <x:v>5717184</x:v>
      </x:c>
      <x:c r="F76" s="305" t="n">
        <x:v>82338</x:v>
      </x:c>
      <x:c r="G76" s="308" t="n">
        <x:v>0.17404494940166348</x:v>
      </x:c>
      <x:c r="H76" s="308" t="n">
        <x:v>0.9222509786020955</x:v>
      </x:c>
      <x:c r="I76" s="302" t="n">
        <x:v>7049</x:v>
      </x:c>
      <x:c r="J76" s="302" t="n">
        <x:v>193949414</x:v>
      </x:c>
      <x:c r="K76" s="311" t="n">
        <x:f>I76/E76*100000</x:f>
        <x:v>123.29496479385655</x:v>
      </x:c>
      <x:c r="L76" s="314" t="n">
        <x:f>J76/E76</x:f>
        <x:v>33.923941227009664</x:v>
      </x:c>
      <x:c r="M76" s="305" t="n">
        <x:f>J76/I76</x:f>
        <x:v>27514.45793729607</x:v>
      </x:c>
      <x:c r="N76" s="299" t="str">
        <x:v>https://www.ic3.gov/AnnualReport/Reports/2023_IC3Report.pdf</x:v>
      </x:c>
      <x:c r="O76" s="299" t="str">
        <x:v>https://www.census.gov/programs-surveys/acs/data/summary-file.2022.html</x:v>
      </x:c>
    </x:row>
    <x:row r="77">
      <x:c r="A77" s="299" t="n">
        <x:v>2023</x:v>
      </x:c>
      <x:c r="B77" s="299" t="str">
        <x:v>Mississippi</x:v>
      </x:c>
      <x:c r="C77" s="299" t="str">
        <x:v>South</x:v>
      </x:c>
      <x:c r="D77" s="299" t="n">
        <x:v>2022</x:v>
      </x:c>
      <x:c r="E77" s="302" t="n">
        <x:v>2940057</x:v>
      </x:c>
      <x:c r="F77" s="305" t="n">
        <x:v>52719</x:v>
      </x:c>
      <x:c r="G77" s="308" t="n">
        <x:v>0.17454899683917696</x:v>
      </x:c>
      <x:c r="H77" s="308" t="n">
        <x:v>0.8438337077868924</x:v>
      </x:c>
      <x:c r="I77" s="302" t="n">
        <x:v>2983</x:v>
      </x:c>
      <x:c r="J77" s="302" t="n">
        <x:v>32144078</x:v>
      </x:c>
      <x:c r="K77" s="311" t="n">
        <x:f>I77/E77*100000</x:f>
        <x:v>101.46061794040048</x:v>
      </x:c>
      <x:c r="L77" s="314" t="n">
        <x:f>J77/E77</x:f>
        <x:v>10.9331478947517</x:v>
      </x:c>
      <x:c r="M77" s="305" t="n">
        <x:f>J77/I77</x:f>
        <x:v>10775.755279919544</x:v>
      </x:c>
      <x:c r="N77" s="299" t="str">
        <x:v>https://www.ic3.gov/AnnualReport/Reports/2023_IC3Report.pdf</x:v>
      </x:c>
      <x:c r="O77" s="299" t="str">
        <x:v>https://www.census.gov/programs-surveys/acs/data/summary-file.2022.html</x:v>
      </x:c>
    </x:row>
    <x:row r="78">
      <x:c r="A78" s="299" t="n">
        <x:v>2023</x:v>
      </x:c>
      <x:c r="B78" s="299" t="str">
        <x:v>Missouri</x:v>
      </x:c>
      <x:c r="C78" s="299" t="str">
        <x:v>Midwest</x:v>
      </x:c>
      <x:c r="D78" s="299" t="n">
        <x:v>2022</x:v>
      </x:c>
      <x:c r="E78" s="302" t="n">
        <x:v>6177957</x:v>
      </x:c>
      <x:c r="F78" s="305" t="n">
        <x:v>64811</x:v>
      </x:c>
      <x:c r="G78" s="308" t="n">
        <x:v>0.1801786577666371</x:v>
      </x:c>
      <x:c r="H78" s="308" t="n">
        <x:v>0.8965819293275682</x:v>
      </x:c>
      <x:c r="I78" s="302" t="n">
        <x:v>8108</x:v>
      </x:c>
      <x:c r="J78" s="302" t="n">
        <x:v>123405404</x:v>
      </x:c>
      <x:c r="K78" s="311" t="n">
        <x:f>I78/E78*100000</x:f>
        <x:v>131.24079691716855</x:v>
      </x:c>
      <x:c r="L78" s="314" t="n">
        <x:f>J78/E78</x:f>
        <x:v>19.975115398180986</x:v>
      </x:c>
      <x:c r="M78" s="305" t="n">
        <x:f>J78/I78</x:f>
        <x:v>15220.202762703502</x:v>
      </x:c>
      <x:c r="N78" s="299" t="str">
        <x:v>https://www.ic3.gov/AnnualReport/Reports/2023_IC3Report.pdf</x:v>
      </x:c>
      <x:c r="O78" s="299" t="str">
        <x:v>https://www.census.gov/programs-surveys/acs/data/summary-file.2022.html</x:v>
      </x:c>
    </x:row>
    <x:row r="79">
      <x:c r="A79" s="299" t="n">
        <x:v>2023</x:v>
      </x:c>
      <x:c r="B79" s="299" t="str">
        <x:v>Montana</x:v>
      </x:c>
      <x:c r="C79" s="299" t="str">
        <x:v>West</x:v>
      </x:c>
      <x:c r="D79" s="299" t="n">
        <x:v>2022</x:v>
      </x:c>
      <x:c r="E79" s="302" t="n">
        <x:v>1122867</x:v>
      </x:c>
      <x:c r="F79" s="305" t="n">
        <x:v>67631</x:v>
      </x:c>
      <x:c r="G79" s="308" t="n">
        <x:v>0.20139161628224891</x:v>
      </x:c>
      <x:c r="H79" s="308" t="n">
        <x:v>0.8938268199762106</x:v>
      </x:c>
      <x:c r="I79" s="302" t="n">
        <x:v>1571</x:v>
      </x:c>
      <x:c r="J79" s="302" t="n">
        <x:v>45554368</x:v>
      </x:c>
      <x:c r="K79" s="311" t="n">
        <x:f>I79/E79*100000</x:f>
        <x:v>139.9097132607869</x:v>
      </x:c>
      <x:c r="L79" s="314" t="n">
        <x:f>J79/E79</x:f>
        <x:v>40.569691691001694</x:v>
      </x:c>
      <x:c r="M79" s="305" t="n">
        <x:f>J79/I79</x:f>
        <x:v>28997.051559516232</x:v>
      </x:c>
      <x:c r="N79" s="299" t="str">
        <x:v>https://www.ic3.gov/AnnualReport/Reports/2023_IC3Report.pdf</x:v>
      </x:c>
      <x:c r="O79" s="299" t="str">
        <x:v>https://www.census.gov/programs-surveys/acs/data/summary-file.2022.html</x:v>
      </x:c>
    </x:row>
    <x:row r="80">
      <x:c r="A80" s="299" t="n">
        <x:v>2023</x:v>
      </x:c>
      <x:c r="B80" s="299" t="str">
        <x:v>Nebraska</x:v>
      </x:c>
      <x:c r="C80" s="299" t="str">
        <x:v>Midwest</x:v>
      </x:c>
      <x:c r="D80" s="299" t="n">
        <x:v>2022</x:v>
      </x:c>
      <x:c r="E80" s="302" t="n">
        <x:v>1967923</x:v>
      </x:c>
      <x:c r="F80" s="305" t="n">
        <x:v>69597</x:v>
      </x:c>
      <x:c r="G80" s="308" t="n">
        <x:v>0.1701778982206113</x:v>
      </x:c>
      <x:c r="H80" s="308" t="n">
        <x:v>0.9038021208804754</x:v>
      </x:c>
      <x:c r="I80" s="302" t="n">
        <x:v>2195</x:v>
      </x:c>
      <x:c r="J80" s="302" t="n">
        <x:v>40581244</x:v>
      </x:c>
      <x:c r="K80" s="311" t="n">
        <x:f>I80/E80*100000</x:f>
        <x:v>111.53891691900546</x:v>
      </x:c>
      <x:c r="L80" s="314" t="n">
        <x:f>J80/E80</x:f>
        <x:v>20.621357644582638</x:v>
      </x:c>
      <x:c r="M80" s="305" t="n">
        <x:f>J80/I80</x:f>
        <x:v>18488.038268792712</x:v>
      </x:c>
      <x:c r="N80" s="299" t="str">
        <x:v>https://www.ic3.gov/AnnualReport/Reports/2023_IC3Report.pdf</x:v>
      </x:c>
      <x:c r="O80" s="299" t="str">
        <x:v>https://www.census.gov/programs-surveys/acs/data/summary-file.2022.html</x:v>
      </x:c>
    </x:row>
    <x:row r="81">
      <x:c r="A81" s="299" t="n">
        <x:v>2023</x:v>
      </x:c>
      <x:c r="B81" s="299" t="str">
        <x:v>Nevada</x:v>
      </x:c>
      <x:c r="C81" s="299" t="str">
        <x:v>West</x:v>
      </x:c>
      <x:c r="D81" s="299" t="n">
        <x:v>2022</x:v>
      </x:c>
      <x:c r="E81" s="302" t="n">
        <x:v>3177772</x:v>
      </x:c>
      <x:c r="F81" s="305" t="n">
        <x:v>72333</x:v>
      </x:c>
      <x:c r="G81" s="308" t="n">
        <x:v>0.1694555178911514</x:v>
      </x:c>
      <x:c r="H81" s="308" t="n">
        <x:v>0.9161084018438594</x:v>
      </x:c>
      <x:c r="I81" s="302" t="n">
        <x:v>9893</x:v>
      </x:c>
      <x:c r="J81" s="302" t="n">
        <x:v>200995121</x:v>
      </x:c>
      <x:c r="K81" s="311" t="n">
        <x:f>I81/E81*100000</x:f>
        <x:v>311.3187478522688</x:v>
      </x:c>
      <x:c r="L81" s="314" t="n">
        <x:f>J81/E81</x:f>
        <x:v>63.25032790269409</x:v>
      </x:c>
      <x:c r="M81" s="305" t="n">
        <x:f>J81/I81</x:f>
        <x:v>20316.902961690084</x:v>
      </x:c>
      <x:c r="N81" s="299" t="str">
        <x:v>https://www.ic3.gov/AnnualReport/Reports/2023_IC3Report.pdf</x:v>
      </x:c>
      <x:c r="O81" s="299" t="str">
        <x:v>https://www.census.gov/programs-surveys/acs/data/summary-file.2022.html</x:v>
      </x:c>
    </x:row>
    <x:row r="82">
      <x:c r="A82" s="299" t="n">
        <x:v>2023</x:v>
      </x:c>
      <x:c r="B82" s="299" t="str">
        <x:v>New Hampshire</x:v>
      </x:c>
      <x:c r="C82" s="299" t="str">
        <x:v>Northeast</x:v>
      </x:c>
      <x:c r="D82" s="299" t="n">
        <x:v>2022</x:v>
      </x:c>
      <x:c r="E82" s="302" t="n">
        <x:v>1395231</x:v>
      </x:c>
      <x:c r="F82" s="305" t="n">
        <x:v>89992</x:v>
      </x:c>
      <x:c r="G82" s="308" t="n">
        <x:v>0.20210488442415628</x:v>
      </x:c>
      <x:c r="H82" s="308" t="n">
        <x:v>0.9409389469150427</x:v>
      </x:c>
      <x:c r="I82" s="302" t="n">
        <x:v>1650</x:v>
      </x:c>
      <x:c r="J82" s="302" t="n">
        <x:v>27178268</x:v>
      </x:c>
      <x:c r="K82" s="311" t="n">
        <x:f>I82/E82*100000</x:f>
        <x:v>118.25998705590688</x:v>
      </x:c>
      <x:c r="L82" s="314" t="n">
        <x:f>J82/E82</x:f>
        <x:v>19.479403768981623</x:v>
      </x:c>
      <x:c r="M82" s="305" t="n">
        <x:f>J82/I82</x:f>
        <x:v>16471.677575757574</x:v>
      </x:c>
      <x:c r="N82" s="299" t="str">
        <x:v>https://www.ic3.gov/AnnualReport/Reports/2023_IC3Report.pdf</x:v>
      </x:c>
      <x:c r="O82" s="299" t="str">
        <x:v>https://www.census.gov/programs-surveys/acs/data/summary-file.2022.html</x:v>
      </x:c>
    </x:row>
    <x:row r="83">
      <x:c r="A83" s="299" t="n">
        <x:v>2023</x:v>
      </x:c>
      <x:c r="B83" s="299" t="str">
        <x:v>New Jersey</x:v>
      </x:c>
      <x:c r="C83" s="299" t="str">
        <x:v>Northeast</x:v>
      </x:c>
      <x:c r="D83" s="299" t="n">
        <x:v>2022</x:v>
      </x:c>
      <x:c r="E83" s="302" t="n">
        <x:v>9261699</x:v>
      </x:c>
      <x:c r="F83" s="305" t="n">
        <x:v>96346</x:v>
      </x:c>
      <x:c r="G83" s="308" t="n">
        <x:v>0.17402055497592828</x:v>
      </x:c>
      <x:c r="H83" s="308" t="n">
        <x:v>0.9312065642719403</x:v>
      </x:c>
      <x:c r="I83" s="302" t="n">
        <x:v>12253</x:v>
      </x:c>
      <x:c r="J83" s="302" t="n">
        <x:v>441151263</x:v>
      </x:c>
      <x:c r="K83" s="311" t="n">
        <x:f>I83/E83*100000</x:f>
        <x:v>132.29754065641734</x:v>
      </x:c>
      <x:c r="L83" s="314" t="n">
        <x:f>J83/E83</x:f>
        <x:v>47.631785809493486</x:v>
      </x:c>
      <x:c r="M83" s="305" t="n">
        <x:f>J83/I83</x:f>
        <x:v>36003.53080878152</x:v>
      </x:c>
      <x:c r="N83" s="299" t="str">
        <x:v>https://www.ic3.gov/AnnualReport/Reports/2023_IC3Report.pdf</x:v>
      </x:c>
      <x:c r="O83" s="299" t="str">
        <x:v>https://www.census.gov/programs-surveys/acs/data/summary-file.2022.html</x:v>
      </x:c>
    </x:row>
    <x:row r="84">
      <x:c r="A84" s="299" t="n">
        <x:v>2023</x:v>
      </x:c>
      <x:c r="B84" s="299" t="str">
        <x:v>New Mexico</x:v>
      </x:c>
      <x:c r="C84" s="299" t="str">
        <x:v>West</x:v>
      </x:c>
      <x:c r="D84" s="299" t="n">
        <x:v>2022</x:v>
      </x:c>
      <x:c r="E84" s="302" t="n">
        <x:v>2113344</x:v>
      </x:c>
      <x:c r="F84" s="305" t="n">
        <x:v>59726</x:v>
      </x:c>
      <x:c r="G84" s="308" t="n">
        <x:v>0.19153720359771054</x:v>
      </x:c>
      <x:c r="H84" s="308" t="n">
        <x:v>0.8680527883162111</x:v>
      </x:c>
      <x:c r="I84" s="302" t="n">
        <x:v>2944</x:v>
      </x:c>
      <x:c r="J84" s="302" t="n">
        <x:v>45127386</x:v>
      </x:c>
      <x:c r="K84" s="311" t="n">
        <x:f>I84/E84*100000</x:f>
        <x:v>139.30529057266588</x:v>
      </x:c>
      <x:c r="L84" s="314" t="n">
        <x:f>J84/E84</x:f>
        <x:v>21.35354490324339</x:v>
      </x:c>
      <x:c r="M84" s="305" t="n">
        <x:f>J84/I84</x:f>
        <x:v>15328.595788043478</x:v>
      </x:c>
      <x:c r="N84" s="299" t="str">
        <x:v>https://www.ic3.gov/AnnualReport/Reports/2023_IC3Report.pdf</x:v>
      </x:c>
      <x:c r="O84" s="299" t="str">
        <x:v>https://www.census.gov/programs-surveys/acs/data/summary-file.2022.html</x:v>
      </x:c>
    </x:row>
    <x:row r="85">
      <x:c r="A85" s="299" t="n">
        <x:v>2023</x:v>
      </x:c>
      <x:c r="B85" s="299" t="str">
        <x:v>New York</x:v>
      </x:c>
      <x:c r="C85" s="299" t="str">
        <x:v>Northeast</x:v>
      </x:c>
      <x:c r="D85" s="299" t="n">
        <x:v>2022</x:v>
      </x:c>
      <x:c r="E85" s="302" t="n">
        <x:v>19677151</x:v>
      </x:c>
      <x:c r="F85" s="305" t="n">
        <x:v>79557</x:v>
      </x:c>
      <x:c r="G85" s="308" t="n">
        <x:v>0.1811540705257585</x:v>
      </x:c>
      <x:c r="H85" s="308" t="n">
        <x:v>0.9054494625116473</x:v>
      </x:c>
      <x:c r="I85" s="302" t="n">
        <x:v>26948</x:v>
      </x:c>
      <x:c r="J85" s="302" t="n">
        <x:v>749955480</x:v>
      </x:c>
      <x:c r="K85" s="311" t="n">
        <x:f>I85/E85*100000</x:f>
        <x:v>136.95072015252615</x:v>
      </x:c>
      <x:c r="L85" s="314" t="n">
        <x:f>J85/E85</x:f>
        <x:v>38.113011380560124</x:v>
      </x:c>
      <x:c r="M85" s="305" t="n">
        <x:f>J85/I85</x:f>
        <x:v>27829.726881401217</x:v>
      </x:c>
      <x:c r="N85" s="299" t="str">
        <x:v>https://www.ic3.gov/AnnualReport/Reports/2023_IC3Report.pdf</x:v>
      </x:c>
      <x:c r="O85" s="299" t="str">
        <x:v>https://www.census.gov/programs-surveys/acs/data/summary-file.2022.html</x:v>
      </x:c>
    </x:row>
    <x:row r="86">
      <x:c r="A86" s="299" t="n">
        <x:v>2023</x:v>
      </x:c>
      <x:c r="B86" s="299" t="str">
        <x:v>North Carolina</x:v>
      </x:c>
      <x:c r="C86" s="299" t="str">
        <x:v>South</x:v>
      </x:c>
      <x:c r="D86" s="299" t="n">
        <x:v>2022</x:v>
      </x:c>
      <x:c r="E86" s="302" t="n">
        <x:v>10698973</x:v>
      </x:c>
      <x:c r="F86" s="305" t="n">
        <x:v>67481</x:v>
      </x:c>
      <x:c r="G86" s="308" t="n">
        <x:v>0.1744666520795968</x:v>
      </x:c>
      <x:c r="H86" s="308" t="n">
        <x:v>0.9034916657866715</x:v>
      </x:c>
      <x:c r="I86" s="302" t="n">
        <x:v>12282</x:v>
      </x:c>
      <x:c r="J86" s="302" t="n">
        <x:v>234972238</x:v>
      </x:c>
      <x:c r="K86" s="311" t="n">
        <x:f>I86/E86*100000</x:f>
        <x:v>114.79606500549166</x:v>
      </x:c>
      <x:c r="L86" s="314" t="n">
        <x:f>J86/E86</x:f>
        <x:v>21.962130196982457</x:v>
      </x:c>
      <x:c r="M86" s="305" t="n">
        <x:f>J86/I86</x:f>
        <x:v>19131.43120013027</x:v>
      </x:c>
      <x:c r="N86" s="299" t="str">
        <x:v>https://www.ic3.gov/AnnualReport/Reports/2023_IC3Report.pdf</x:v>
      </x:c>
      <x:c r="O86" s="299" t="str">
        <x:v>https://www.census.gov/programs-surveys/acs/data/summary-file.2022.html</x:v>
      </x:c>
    </x:row>
    <x:row r="87">
      <x:c r="A87" s="299" t="n">
        <x:v>2023</x:v>
      </x:c>
      <x:c r="B87" s="299" t="str">
        <x:v>North Dakota</x:v>
      </x:c>
      <x:c r="C87" s="299" t="str">
        <x:v>Midwest</x:v>
      </x:c>
      <x:c r="D87" s="299" t="n">
        <x:v>2022</x:v>
      </x:c>
      <x:c r="E87" s="302" t="n">
        <x:v>779261</x:v>
      </x:c>
      <x:c r="F87" s="305" t="n">
        <x:v>71970</x:v>
      </x:c>
      <x:c r="G87" s="308" t="n">
        <x:v>0.16720071965618707</x:v>
      </x:c>
      <x:c r="H87" s="308" t="n">
        <x:v>0.8953756022215451</x:v>
      </x:c>
      <x:c r="I87" s="302" t="n">
        <x:v>764</x:v>
      </x:c>
      <x:c r="J87" s="302" t="n">
        <x:v>13532443</x:v>
      </x:c>
      <x:c r="K87" s="311" t="n">
        <x:f>I87/E87*100000</x:f>
        <x:v>98.04160608576588</x:v>
      </x:c>
      <x:c r="L87" s="314" t="n">
        <x:f>J87/E87</x:f>
        <x:v>17.36573882178115</x:v>
      </x:c>
      <x:c r="M87" s="305" t="n">
        <x:f>J87/I87</x:f>
        <x:v>17712.62172774869</x:v>
      </x:c>
      <x:c r="N87" s="299" t="str">
        <x:v>https://www.ic3.gov/AnnualReport/Reports/2023_IC3Report.pdf</x:v>
      </x:c>
      <x:c r="O87" s="299" t="str">
        <x:v>https://www.census.gov/programs-surveys/acs/data/summary-file.2022.html</x:v>
      </x:c>
    </x:row>
    <x:row r="88">
      <x:c r="A88" s="299" t="n">
        <x:v>2023</x:v>
      </x:c>
      <x:c r="B88" s="299" t="str">
        <x:v>Ohio</x:v>
      </x:c>
      <x:c r="C88" s="299" t="str">
        <x:v>Midwest</x:v>
      </x:c>
      <x:c r="D88" s="299" t="n">
        <x:v>2022</x:v>
      </x:c>
      <x:c r="E88" s="302" t="n">
        <x:v>11756058</x:v>
      </x:c>
      <x:c r="F88" s="305" t="n">
        <x:v>65720</x:v>
      </x:c>
      <x:c r="G88" s="308" t="n">
        <x:v>0.18447212492486853</x:v>
      </x:c>
      <x:c r="H88" s="308" t="n">
        <x:v>0.9055564689150069</x:v>
      </x:c>
      <x:c r="I88" s="302" t="n">
        <x:v>17864</x:v>
      </x:c>
      <x:c r="J88" s="302" t="n">
        <x:v>197365326</x:v>
      </x:c>
      <x:c r="K88" s="311" t="n">
        <x:f>I88/E88*100000</x:f>
        <x:v>151.95569807498399</x:v>
      </x:c>
      <x:c r="L88" s="314" t="n">
        <x:f>J88/E88</x:f>
        <x:v>16.788393354302947</x:v>
      </x:c>
      <x:c r="M88" s="305" t="n">
        <x:f>J88/I88</x:f>
        <x:v>11048.215741155396</x:v>
      </x:c>
      <x:c r="N88" s="299" t="str">
        <x:v>https://www.ic3.gov/AnnualReport/Reports/2023_IC3Report.pdf</x:v>
      </x:c>
      <x:c r="O88" s="299" t="str">
        <x:v>https://www.census.gov/programs-surveys/acs/data/summary-file.2022.html</x:v>
      </x:c>
    </x:row>
    <x:row r="89">
      <x:c r="A89" s="299" t="n">
        <x:v>2023</x:v>
      </x:c>
      <x:c r="B89" s="299" t="str">
        <x:v>Oklahoma</x:v>
      </x:c>
      <x:c r="C89" s="299" t="str">
        <x:v>South</x:v>
      </x:c>
      <x:c r="D89" s="299" t="n">
        <x:v>2022</x:v>
      </x:c>
      <x:c r="E89" s="302" t="n">
        <x:v>4019800</x:v>
      </x:c>
      <x:c r="F89" s="305" t="n">
        <x:v>59673</x:v>
      </x:c>
      <x:c r="G89" s="308" t="n">
        <x:v>0.16468381511517985</x:v>
      </x:c>
      <x:c r="H89" s="308" t="n">
        <x:v>0.8874299190175313</x:v>
      </x:c>
      <x:c r="I89" s="302" t="n">
        <x:v>4987</x:v>
      </x:c>
      <x:c r="J89" s="302" t="n">
        <x:v>66967060</x:v>
      </x:c>
      <x:c r="K89" s="311" t="n">
        <x:f>I89/E89*100000</x:f>
        <x:v>124.06089855216678</x:v>
      </x:c>
      <x:c r="L89" s="314" t="n">
        <x:f>J89/E89</x:f>
        <x:v>16.659301457783968</x:v>
      </x:c>
      <x:c r="M89" s="305" t="n">
        <x:f>J89/I89</x:f>
        <x:v>13428.325646681371</x:v>
      </x:c>
      <x:c r="N89" s="299" t="str">
        <x:v>https://www.ic3.gov/AnnualReport/Reports/2023_IC3Report.pdf</x:v>
      </x:c>
      <x:c r="O89" s="299" t="str">
        <x:v>https://www.census.gov/programs-surveys/acs/data/summary-file.2022.html</x:v>
      </x:c>
    </x:row>
    <x:row r="90">
      <x:c r="A90" s="299" t="n">
        <x:v>2023</x:v>
      </x:c>
      <x:c r="B90" s="299" t="str">
        <x:v>Oregon</x:v>
      </x:c>
      <x:c r="C90" s="299" t="str">
        <x:v>West</x:v>
      </x:c>
      <x:c r="D90" s="299" t="n">
        <x:v>2022</x:v>
      </x:c>
      <x:c r="E90" s="302" t="n">
        <x:v>4240137</x:v>
      </x:c>
      <x:c r="F90" s="305" t="n">
        <x:v>75657</x:v>
      </x:c>
      <x:c r="G90" s="308" t="n">
        <x:v>0.19261500276995766</x:v>
      </x:c>
      <x:c r="H90" s="308" t="n">
        <x:v>0.9254173569517011</x:v>
      </x:c>
      <x:c r="I90" s="302" t="n">
        <x:v>6724</x:v>
      </x:c>
      <x:c r="J90" s="302" t="n">
        <x:v>136052036</x:v>
      </x:c>
      <x:c r="K90" s="311" t="n">
        <x:f>I90/E90*100000</x:f>
        <x:v>158.5797817381844</x:v>
      </x:c>
      <x:c r="L90" s="314" t="n">
        <x:f>J90/E90</x:f>
        <x:v>32.0867075757222</x:v>
      </x:c>
      <x:c r="M90" s="305" t="n">
        <x:f>J90/I90</x:f>
        <x:v>20233.794765020823</x:v>
      </x:c>
      <x:c r="N90" s="299" t="str">
        <x:v>https://www.ic3.gov/AnnualReport/Reports/2023_IC3Report.pdf</x:v>
      </x:c>
      <x:c r="O90" s="299" t="str">
        <x:v>https://www.census.gov/programs-surveys/acs/data/summary-file.2022.html</x:v>
      </x:c>
    </x:row>
    <x:row r="91">
      <x:c r="A91" s="299" t="n">
        <x:v>2023</x:v>
      </x:c>
      <x:c r="B91" s="299" t="str">
        <x:v>Pennsylvania</x:v>
      </x:c>
      <x:c r="C91" s="299" t="str">
        <x:v>Northeast</x:v>
      </x:c>
      <x:c r="D91" s="299" t="n">
        <x:v>2022</x:v>
      </x:c>
      <x:c r="E91" s="302" t="n">
        <x:v>12972008</x:v>
      </x:c>
      <x:c r="F91" s="305" t="n">
        <x:v>71798</x:v>
      </x:c>
      <x:c r="G91" s="308" t="n">
        <x:v>0.19573330512901319</x:v>
      </x:c>
      <x:c r="H91" s="308" t="n">
        <x:v>0.901316096421181</x:v>
      </x:c>
      <x:c r="I91" s="302" t="n">
        <x:v>16407</x:v>
      </x:c>
      <x:c r="J91" s="302" t="n">
        <x:v>360334651</x:v>
      </x:c>
      <x:c r="K91" s="311" t="n">
        <x:f>I91/E91*100000</x:f>
        <x:v>126.48003300645514</x:v>
      </x:c>
      <x:c r="L91" s="314" t="n">
        <x:f>J91/E91</x:f>
        <x:v>27.77786222456847</x:v>
      </x:c>
      <x:c r="M91" s="305" t="n">
        <x:f>J91/I91</x:f>
        <x:v>21962.250929481317</x:v>
      </x:c>
      <x:c r="N91" s="299" t="str">
        <x:v>https://www.ic3.gov/AnnualReport/Reports/2023_IC3Report.pdf</x:v>
      </x:c>
      <x:c r="O91" s="299" t="str">
        <x:v>https://www.census.gov/programs-surveys/acs/data/summary-file.2022.html</x:v>
      </x:c>
    </x:row>
    <x:row r="92">
      <x:c r="A92" s="299" t="n">
        <x:v>2023</x:v>
      </x:c>
      <x:c r="B92" s="299" t="str">
        <x:v>Rhode Island</x:v>
      </x:c>
      <x:c r="C92" s="299" t="str">
        <x:v>Northeast</x:v>
      </x:c>
      <x:c r="D92" s="299" t="n">
        <x:v>2022</x:v>
      </x:c>
      <x:c r="E92" s="302" t="n">
        <x:v>1093734</x:v>
      </x:c>
      <x:c r="F92" s="305" t="n">
        <x:v>81854</x:v>
      </x:c>
      <x:c r="G92" s="308" t="n">
        <x:v>0.18845258536353446</x:v>
      </x:c>
      <x:c r="H92" s="308" t="n">
        <x:v>0.9144637868042124</x:v>
      </x:c>
      <x:c r="I92" s="302" t="n">
        <x:v>1425</x:v>
      </x:c>
      <x:c r="J92" s="302" t="n">
        <x:v>31586831</x:v>
      </x:c>
      <x:c r="K92" s="311" t="n">
        <x:f>I92/E92*100000</x:f>
        <x:v>130.28762020747274</x:v>
      </x:c>
      <x:c r="L92" s="314" t="n">
        <x:f>J92/E92</x:f>
        <x:v>28.879810813232467</x:v>
      </x:c>
      <x:c r="M92" s="305" t="n">
        <x:f>J92/I92</x:f>
        <x:v>22166.197192982458</x:v>
      </x:c>
      <x:c r="N92" s="299" t="str">
        <x:v>https://www.ic3.gov/AnnualReport/Reports/2023_IC3Report.pdf</x:v>
      </x:c>
      <x:c r="O92" s="299" t="str">
        <x:v>https://www.census.gov/programs-surveys/acs/data/summary-file.2022.html</x:v>
      </x:c>
    </x:row>
    <x:row r="93">
      <x:c r="A93" s="299" t="n">
        <x:v>2023</x:v>
      </x:c>
      <x:c r="B93" s="299" t="str">
        <x:v>South Carolina</x:v>
      </x:c>
      <x:c r="C93" s="299" t="str">
        <x:v>South</x:v>
      </x:c>
      <x:c r="D93" s="299" t="n">
        <x:v>2022</x:v>
      </x:c>
      <x:c r="E93" s="302" t="n">
        <x:v>5282634</x:v>
      </x:c>
      <x:c r="F93" s="305" t="n">
        <x:v>64115</x:v>
      </x:c>
      <x:c r="G93" s="308" t="n">
        <x:v>0.19093088788661108</x:v>
      </x:c>
      <x:c r="H93" s="308" t="n">
        <x:v>0.8924820231452005</x:v>
      </x:c>
      <x:c r="I93" s="302" t="n">
        <x:v>9736</x:v>
      </x:c>
      <x:c r="J93" s="302" t="n">
        <x:v>119950630</x:v>
      </x:c>
      <x:c r="K93" s="311" t="n">
        <x:f>I93/E93*100000</x:f>
        <x:v>184.30199782911328</x:v>
      </x:c>
      <x:c r="L93" s="314" t="n">
        <x:f>J93/E93</x:f>
        <x:v>22.706594854006543</x:v>
      </x:c>
      <x:c r="M93" s="305" t="n">
        <x:f>J93/I93</x:f>
        <x:v>12320.319433032046</x:v>
      </x:c>
      <x:c r="N93" s="299" t="str">
        <x:v>https://www.ic3.gov/AnnualReport/Reports/2023_IC3Report.pdf</x:v>
      </x:c>
      <x:c r="O93" s="299" t="str">
        <x:v>https://www.census.gov/programs-surveys/acs/data/summary-file.2022.html</x:v>
      </x:c>
    </x:row>
    <x:row r="94">
      <x:c r="A94" s="299" t="n">
        <x:v>2023</x:v>
      </x:c>
      <x:c r="B94" s="299" t="str">
        <x:v>South Dakota</x:v>
      </x:c>
      <x:c r="C94" s="299" t="str">
        <x:v>Midwest</x:v>
      </x:c>
      <x:c r="D94" s="299" t="n">
        <x:v>2022</x:v>
      </x:c>
      <x:c r="E94" s="302" t="n">
        <x:v>909824</x:v>
      </x:c>
      <x:c r="F94" s="305" t="n">
        <x:v>69728</x:v>
      </x:c>
      <x:c r="G94" s="308" t="n">
        <x:v>0.18235285066122678</x:v>
      </x:c>
      <x:c r="H94" s="308" t="n">
        <x:v>0.9009204452891665</x:v>
      </x:c>
      <x:c r="I94" s="302" t="n">
        <x:v>1688</x:v>
      </x:c>
      <x:c r="J94" s="302" t="n">
        <x:v>35855494</x:v>
      </x:c>
      <x:c r="K94" s="311" t="n">
        <x:f>I94/E94*100000</x:f>
        <x:v>185.530388294879</x:v>
      </x:c>
      <x:c r="L94" s="314" t="n">
        <x:f>J94/E94</x:f>
        <x:v>39.40926376969612</x:v>
      </x:c>
      <x:c r="M94" s="305" t="n">
        <x:f>J94/I94</x:f>
        <x:v>21241.406398104264</x:v>
      </x:c>
      <x:c r="N94" s="299" t="str">
        <x:v>https://www.ic3.gov/AnnualReport/Reports/2023_IC3Report.pdf</x:v>
      </x:c>
      <x:c r="O94" s="299" t="str">
        <x:v>https://www.census.gov/programs-surveys/acs/data/summary-file.2022.html</x:v>
      </x:c>
    </x:row>
    <x:row r="95">
      <x:c r="A95" s="299" t="n">
        <x:v>2023</x:v>
      </x:c>
      <x:c r="B95" s="299" t="str">
        <x:v>Tennessee</x:v>
      </x:c>
      <x:c r="C95" s="299" t="str">
        <x:v>South</x:v>
      </x:c>
      <x:c r="D95" s="299" t="n">
        <x:v>2022</x:v>
      </x:c>
      <x:c r="E95" s="302" t="n">
        <x:v>7051339</x:v>
      </x:c>
      <x:c r="F95" s="305" t="n">
        <x:v>65254</x:v>
      </x:c>
      <x:c r="G95" s="308" t="n">
        <x:v>0.17272804498549849</x:v>
      </x:c>
      <x:c r="H95" s="308" t="n">
        <x:v>0.8973279085420088</x:v>
      </x:c>
      <x:c r="I95" s="302" t="n">
        <x:v>8484</x:v>
      </x:c>
      <x:c r="J95" s="302" t="n">
        <x:v>161195036</x:v>
      </x:c>
      <x:c r="K95" s="311" t="n">
        <x:f>I95/E95*100000</x:f>
        <x:v>120.31757372606819</x:v>
      </x:c>
      <x:c r="L95" s="314" t="n">
        <x:f>J95/E95</x:f>
        <x:v>22.860202296329817</x:v>
      </x:c>
      <x:c r="M95" s="305" t="n">
        <x:f>J95/I95</x:f>
        <x:v>18999.88637435172</x:v>
      </x:c>
      <x:c r="N95" s="299" t="str">
        <x:v>https://www.ic3.gov/AnnualReport/Reports/2023_IC3Report.pdf</x:v>
      </x:c>
      <x:c r="O95" s="299" t="str">
        <x:v>https://www.census.gov/programs-surveys/acs/data/summary-file.2022.html</x:v>
      </x:c>
    </x:row>
    <x:row r="96">
      <x:c r="A96" s="299" t="n">
        <x:v>2023</x:v>
      </x:c>
      <x:c r="B96" s="299" t="str">
        <x:v>Texas</x:v>
      </x:c>
      <x:c r="C96" s="299" t="str">
        <x:v>South</x:v>
      </x:c>
      <x:c r="D96" s="299" t="n">
        <x:v>2022</x:v>
      </x:c>
      <x:c r="E96" s="302" t="n">
        <x:v>30029572</x:v>
      </x:c>
      <x:c r="F96" s="305" t="n">
        <x:v>72284</x:v>
      </x:c>
      <x:c r="G96" s="308" t="n">
        <x:v>0.1344369809866088</x:v>
      </x:c>
      <x:c r="H96" s="308" t="n">
        <x:v>0.915483795208171</x:v>
      </x:c>
      <x:c r="I96" s="302" t="n">
        <x:v>47305</x:v>
      </x:c>
      <x:c r="J96" s="302" t="n">
        <x:v>1021547286</x:v>
      </x:c>
      <x:c r="K96" s="311" t="n">
        <x:f>I96/E96*100000</x:f>
        <x:v>157.52805268087073</x:v>
      </x:c>
      <x:c r="L96" s="314" t="n">
        <x:f>J96/E96</x:f>
        <x:v>34.01804348060638</x:v>
      </x:c>
      <x:c r="M96" s="305" t="n">
        <x:f>J96/I96</x:f>
        <x:v>21594.91144699292</x:v>
      </x:c>
      <x:c r="N96" s="299" t="str">
        <x:v>https://www.ic3.gov/AnnualReport/Reports/2023_IC3Report.pdf</x:v>
      </x:c>
      <x:c r="O96" s="299" t="str">
        <x:v>https://www.census.gov/programs-surveys/acs/data/summary-file.2022.html</x:v>
      </x:c>
    </x:row>
    <x:row r="97">
      <x:c r="A97" s="299" t="n">
        <x:v>2023</x:v>
      </x:c>
      <x:c r="B97" s="299" t="str">
        <x:v>Utah</x:v>
      </x:c>
      <x:c r="C97" s="299" t="str">
        <x:v>West</x:v>
      </x:c>
      <x:c r="D97" s="299" t="n">
        <x:v>2022</x:v>
      </x:c>
      <x:c r="E97" s="302" t="n">
        <x:v>3380800</x:v>
      </x:c>
      <x:c r="F97" s="305" t="n">
        <x:v>89168</x:v>
      </x:c>
      <x:c r="G97" s="308" t="n">
        <x:v>0.11940931140558447</x:v>
      </x:c>
      <x:c r="H97" s="308" t="n">
        <x:v>0.9376325620098084</x:v>
      </x:c>
      <x:c r="I97" s="302" t="n">
        <x:v>5061</x:v>
      </x:c>
      <x:c r="J97" s="302" t="n">
        <x:v>132257035</x:v>
      </x:c>
      <x:c r="K97" s="311" t="n">
        <x:f>I97/E97*100000</x:f>
        <x:v>149.69829626123996</x:v>
      </x:c>
      <x:c r="L97" s="314" t="n">
        <x:f>J97/E97</x:f>
        <x:v>39.12004111452911</x:v>
      </x:c>
      <x:c r="M97" s="305" t="n">
        <x:f>J97/I97</x:f>
        <x:v>26132.589409207667</x:v>
      </x:c>
      <x:c r="N97" s="299" t="str">
        <x:v>https://www.ic3.gov/AnnualReport/Reports/2023_IC3Report.pdf</x:v>
      </x:c>
      <x:c r="O97" s="299" t="str">
        <x:v>https://www.census.gov/programs-surveys/acs/data/summary-file.2022.html</x:v>
      </x:c>
    </x:row>
    <x:row r="98">
      <x:c r="A98" s="299" t="n">
        <x:v>2023</x:v>
      </x:c>
      <x:c r="B98" s="299" t="str">
        <x:v>Vermont</x:v>
      </x:c>
      <x:c r="C98" s="299" t="str">
        <x:v>Northeast</x:v>
      </x:c>
      <x:c r="D98" s="299" t="n">
        <x:v>2022</x:v>
      </x:c>
      <x:c r="E98" s="302" t="n">
        <x:v>647064</x:v>
      </x:c>
      <x:c r="F98" s="305" t="n">
        <x:v>73991</x:v>
      </x:c>
      <x:c r="G98" s="308" t="n">
        <x:v>0.21609454397092093</x:v>
      </x:c>
      <x:c r="H98" s="308" t="n">
        <x:v>0.91279367714461</x:v>
      </x:c>
      <x:c r="I98" s="302" t="n">
        <x:v>698</x:v>
      </x:c>
      <x:c r="J98" s="302" t="n">
        <x:v>8818181</x:v>
      </x:c>
      <x:c r="K98" s="311" t="n">
        <x:f>I98/E98*100000</x:f>
        <x:v>107.87186429781289</x:v>
      </x:c>
      <x:c r="L98" s="314" t="n">
        <x:f>J98/E98</x:f>
        <x:v>13.627988885179828</x:v>
      </x:c>
      <x:c r="M98" s="305" t="n">
        <x:f>J98/I98</x:f>
        <x:v>12633.497134670488</x:v>
      </x:c>
      <x:c r="N98" s="299" t="str">
        <x:v>https://www.ic3.gov/AnnualReport/Reports/2023_IC3Report.pdf</x:v>
      </x:c>
      <x:c r="O98" s="299" t="str">
        <x:v>https://www.census.gov/programs-surveys/acs/data/summary-file.2022.html</x:v>
      </x:c>
    </x:row>
    <x:row r="99">
      <x:c r="A99" s="299" t="n">
        <x:v>2023</x:v>
      </x:c>
      <x:c r="B99" s="299" t="str">
        <x:v>Virginia</x:v>
      </x:c>
      <x:c r="C99" s="299" t="str">
        <x:v>South</x:v>
      </x:c>
      <x:c r="D99" s="299" t="n">
        <x:v>2022</x:v>
      </x:c>
      <x:c r="E99" s="302" t="n">
        <x:v>8683619</x:v>
      </x:c>
      <x:c r="F99" s="305" t="n">
        <x:v>85873</x:v>
      </x:c>
      <x:c r="G99" s="308" t="n">
        <x:v>0.16836781991471528</x:v>
      </x:c>
      <x:c r="H99" s="308" t="n">
        <x:v>0.9102862296623061</x:v>
      </x:c>
      <x:c r="I99" s="302" t="n">
        <x:v>12711</x:v>
      </x:c>
      <x:c r="J99" s="302" t="n">
        <x:v>265073590</x:v>
      </x:c>
      <x:c r="K99" s="311" t="n">
        <x:f>I99/E99*100000</x:f>
        <x:v>146.37906154104644</x:v>
      </x:c>
      <x:c r="L99" s="314" t="n">
        <x:f>J99/E99</x:f>
        <x:v>30.525704778157586</x:v>
      </x:c>
      <x:c r="M99" s="305" t="n">
        <x:f>J99/I99</x:f>
        <x:v>20853.87381008575</x:v>
      </x:c>
      <x:c r="N99" s="299" t="str">
        <x:v>https://www.ic3.gov/AnnualReport/Reports/2023_IC3Report.pdf</x:v>
      </x:c>
      <x:c r="O99" s="299" t="str">
        <x:v>https://www.census.gov/programs-surveys/acs/data/summary-file.2022.html</x:v>
      </x:c>
    </x:row>
    <x:row r="100">
      <x:c r="A100" s="299" t="n">
        <x:v>2023</x:v>
      </x:c>
      <x:c r="B100" s="299" t="str">
        <x:v>Washington</x:v>
      </x:c>
      <x:c r="C100" s="299" t="str">
        <x:v>West</x:v>
      </x:c>
      <x:c r="D100" s="299" t="n">
        <x:v>2022</x:v>
      </x:c>
      <x:c r="E100" s="302" t="n">
        <x:v>7785786</x:v>
      </x:c>
      <x:c r="F100" s="305" t="n">
        <x:v>91306</x:v>
      </x:c>
      <x:c r="G100" s="308" t="n">
        <x:v>0.16814513011274648</x:v>
      </x:c>
      <x:c r="H100" s="308" t="n">
        <x:v>0.9365922142318407</x:v>
      </x:c>
      <x:c r="I100" s="302" t="n">
        <x:v>14600</x:v>
      </x:c>
      <x:c r="J100" s="302" t="n">
        <x:v>288691091</x:v>
      </x:c>
      <x:c r="K100" s="311" t="n">
        <x:f>I100/E100*100000</x:f>
        <x:v>187.52120852024444</x:v>
      </x:c>
      <x:c r="L100" s="314" t="n">
        <x:f>J100/E100</x:f>
        <x:v>37.079248132430045</x:v>
      </x:c>
      <x:c r="M100" s="305" t="n">
        <x:f>J100/I100</x:f>
        <x:v>19773.362397260273</x:v>
      </x:c>
      <x:c r="N100" s="299" t="str">
        <x:v>https://www.ic3.gov/AnnualReport/Reports/2023_IC3Report.pdf</x:v>
      </x:c>
      <x:c r="O100" s="299" t="str">
        <x:v>https://www.census.gov/programs-surveys/acs/data/summary-file.2022.html</x:v>
      </x:c>
    </x:row>
    <x:row r="101">
      <x:c r="A101" s="299" t="n">
        <x:v>2023</x:v>
      </x:c>
      <x:c r="B101" s="299" t="str">
        <x:v>West Virginia</x:v>
      </x:c>
      <x:c r="C101" s="299" t="str">
        <x:v>South</x:v>
      </x:c>
      <x:c r="D101" s="299" t="n">
        <x:v>2022</x:v>
      </x:c>
      <x:c r="E101" s="302" t="n">
        <x:v>1775156</x:v>
      </x:c>
      <x:c r="F101" s="305" t="n">
        <x:v>54329</x:v>
      </x:c>
      <x:c r="G101" s="308" t="n">
        <x:v>0.21190362987816283</x:v>
      </x:c>
      <x:c r="H101" s="308" t="n">
        <x:v>0.8668470178898091</x:v>
      </x:c>
      <x:c r="I101" s="302" t="n">
        <x:v>2365</x:v>
      </x:c>
      <x:c r="J101" s="302" t="n">
        <x:v>21445942</x:v>
      </x:c>
      <x:c r="K101" s="311" t="n">
        <x:f>I101/E101*100000</x:f>
        <x:v>133.22772759126522</x:v>
      </x:c>
      <x:c r="L101" s="314" t="n">
        <x:f>J101/E101</x:f>
        <x:v>12.081159064330121</x:v>
      </x:c>
      <x:c r="M101" s="305" t="n">
        <x:f>J101/I101</x:f>
        <x:v>9068.051585623678</x:v>
      </x:c>
      <x:c r="N101" s="299" t="str">
        <x:v>https://www.ic3.gov/AnnualReport/Reports/2023_IC3Report.pdf</x:v>
      </x:c>
      <x:c r="O101" s="299" t="str">
        <x:v>https://www.census.gov/programs-surveys/acs/data/summary-file.2022.html</x:v>
      </x:c>
    </x:row>
    <x:row r="102">
      <x:c r="A102" s="299" t="n">
        <x:v>2023</x:v>
      </x:c>
      <x:c r="B102" s="299" t="str">
        <x:v>Wisconsin</x:v>
      </x:c>
      <x:c r="C102" s="299" t="str">
        <x:v>Midwest</x:v>
      </x:c>
      <x:c r="D102" s="299" t="n">
        <x:v>2022</x:v>
      </x:c>
      <x:c r="E102" s="302" t="n">
        <x:v>5892539</x:v>
      </x:c>
      <x:c r="F102" s="305" t="n">
        <x:v>70996</x:v>
      </x:c>
      <x:c r="G102" s="308" t="n">
        <x:v>0.18708166377855115</x:v>
      </x:c>
      <x:c r="H102" s="308" t="n">
        <x:v>0.9087246263830621</x:v>
      </x:c>
      <x:c r="I102" s="302" t="n">
        <x:v>7683</x:v>
      </x:c>
      <x:c r="J102" s="302" t="n">
        <x:v>92084459</x:v>
      </x:c>
      <x:c r="K102" s="311" t="n">
        <x:f>I102/E102*100000</x:f>
        <x:v>130.38522103969106</x:v>
      </x:c>
      <x:c r="L102" s="314" t="n">
        <x:f>J102/E102</x:f>
        <x:v>15.627297333119051</x:v>
      </x:c>
      <x:c r="M102" s="305" t="n">
        <x:f>J102/I102</x:f>
        <x:v>11985.482103345048</x:v>
      </x:c>
      <x:c r="N102" s="299" t="str">
        <x:v>https://www.ic3.gov/AnnualReport/Reports/2023_IC3Report.pdf</x:v>
      </x:c>
      <x:c r="O102" s="299" t="str">
        <x:v>https://www.census.gov/programs-surveys/acs/data/summary-file.2022.html</x:v>
      </x:c>
    </x:row>
    <x:row r="103">
      <x:c r="A103" s="299" t="n">
        <x:v>2023</x:v>
      </x:c>
      <x:c r="B103" s="299" t="str">
        <x:v>Wyoming</x:v>
      </x:c>
      <x:c r="C103" s="299" t="str">
        <x:v>West</x:v>
      </x:c>
      <x:c r="D103" s="299" t="n">
        <x:v>2022</x:v>
      </x:c>
      <x:c r="E103" s="302" t="n">
        <x:v>581381</x:v>
      </x:c>
      <x:c r="F103" s="305" t="n">
        <x:v>70042</x:v>
      </x:c>
      <x:c r="G103" s="308" t="n">
        <x:v>0.18574394416054185</x:v>
      </x:c>
      <x:c r="H103" s="308" t="n">
        <x:v>0.8986647268423194</x:v>
      </x:c>
      <x:c r="I103" s="302" t="n">
        <x:v>828</x:v>
      </x:c>
      <x:c r="J103" s="302" t="n">
        <x:v>13746109</x:v>
      </x:c>
      <x:c r="K103" s="311" t="n">
        <x:f>I103/E103*100000</x:f>
        <x:v>142.41951491362806</x:v>
      </x:c>
      <x:c r="L103" s="314" t="n">
        <x:f>J103/E103</x:f>
        <x:v>23.643891011230156</x:v>
      </x:c>
      <x:c r="M103" s="305" t="n">
        <x:f>J103/I103</x:f>
        <x:v>16601.580917874395</x:v>
      </x:c>
      <x:c r="N103" s="299" t="str">
        <x:v>https://www.ic3.gov/AnnualReport/Reports/2023_IC3Report.pdf</x:v>
      </x:c>
      <x:c r="O103" s="299" t="str">
        <x:v>https://www.census.gov/programs-surveys/acs/data/summary-file.2022.html</x:v>
      </x:c>
    </x:row>
    <x:row r="104">
      <x:c r="A104" s="299" t="n">
        <x:v>2024</x:v>
      </x:c>
      <x:c r="B104" s="299" t="str">
        <x:v>Alabama</x:v>
      </x:c>
      <x:c r="C104" s="299" t="str">
        <x:v>South</x:v>
      </x:c>
      <x:c r="D104" s="299" t="n">
        <x:v>2023</x:v>
      </x:c>
      <x:c r="E104" s="302" t="n">
        <x:v>5108468</x:v>
      </x:c>
      <x:c r="F104" s="305" t="n">
        <x:v>62212</x:v>
      </x:c>
      <x:c r="G104" s="308" t="n">
        <x:v>0.18246546714200812</x:v>
      </x:c>
      <x:c r="H104" s="308" t="n">
        <x:v>0.8953929843118236</x:v>
      </x:c>
      <x:c r="I104" s="302" t="n">
        <x:v>7840</x:v>
      </x:c>
      <x:c r="J104" s="302" t="n">
        <x:v>103771880</x:v>
      </x:c>
      <x:c r="K104" s="311" t="n">
        <x:f>I104/E104*100000</x:f>
        <x:v>153.47066870145804</x:v>
      </x:c>
      <x:c r="L104" s="314" t="n">
        <x:f>J104/E104</x:f>
        <x:v>20.313698744907477</x:v>
      </x:c>
      <x:c r="M104" s="305" t="n">
        <x:f>J104/I104</x:f>
        <x:v>13236.209183673469</x:v>
      </x:c>
      <x:c r="N104" s="299" t="str">
        <x:v>https://www.ic3.gov/AnnualReport/Reports/2024_IC3Report.pdf</x:v>
      </x:c>
      <x:c r="O104" s="299" t="str">
        <x:v>https://www.census.gov/programs-surveys/acs/data/summary-file.2023.html</x:v>
      </x:c>
    </x:row>
    <x:row r="105">
      <x:c r="A105" s="299" t="n">
        <x:v>2024</x:v>
      </x:c>
      <x:c r="B105" s="299" t="str">
        <x:v>Alaska</x:v>
      </x:c>
      <x:c r="C105" s="299" t="str">
        <x:v>West</x:v>
      </x:c>
      <x:c r="D105" s="299" t="n">
        <x:v>2023</x:v>
      </x:c>
      <x:c r="E105" s="302" t="n">
        <x:v>733406</x:v>
      </x:c>
      <x:c r="F105" s="305" t="n">
        <x:v>86631</x:v>
      </x:c>
      <x:c r="G105" s="308" t="n">
        <x:v>0.140437902062432</x:v>
      </x:c>
      <x:c r="H105" s="308" t="n">
        <x:v>0.93209729386098</x:v>
      </x:c>
      <x:c r="I105" s="302" t="n">
        <x:v>6770</x:v>
      </x:c>
      <x:c r="J105" s="302" t="n">
        <x:v>26296803</x:v>
      </x:c>
      <x:c r="K105" s="311" t="n">
        <x:f>I105/E105*100000</x:f>
        <x:v>923.0903483200301</x:v>
      </x:c>
      <x:c r="L105" s="314" t="n">
        <x:f>J105/E105</x:f>
        <x:v>35.85572384191021</x:v>
      </x:c>
      <x:c r="M105" s="305" t="n">
        <x:f>J105/I105</x:f>
        <x:v>3884.313589364845</x:v>
      </x:c>
      <x:c r="N105" s="299" t="str">
        <x:v>https://www.ic3.gov/AnnualReport/Reports/2024_IC3Report.pdf</x:v>
      </x:c>
      <x:c r="O105" s="299" t="str">
        <x:v>https://www.census.gov/programs-surveys/acs/data/summary-file.2023.html</x:v>
      </x:c>
    </x:row>
    <x:row r="106">
      <x:c r="A106" s="299" t="n">
        <x:v>2024</x:v>
      </x:c>
      <x:c r="B106" s="299" t="str">
        <x:v>Arizona</x:v>
      </x:c>
      <x:c r="C106" s="299" t="str">
        <x:v>West</x:v>
      </x:c>
      <x:c r="D106" s="299" t="n">
        <x:v>2023</x:v>
      </x:c>
      <x:c r="E106" s="302" t="n">
        <x:v>7431344</x:v>
      </x:c>
      <x:c r="F106" s="305" t="n">
        <x:v>77315</x:v>
      </x:c>
      <x:c r="G106" s="308" t="n">
        <x:v>0.19346850314021258</x:v>
      </x:c>
      <x:c r="H106" s="308" t="n">
        <x:v>0.924508791495328</x:v>
      </x:c>
      <x:c r="I106" s="302" t="n">
        <x:v>20101</x:v>
      </x:c>
      <x:c r="J106" s="302" t="n">
        <x:v>392441717</x:v>
      </x:c>
      <x:c r="K106" s="311" t="n">
        <x:f>I106/E106*100000</x:f>
        <x:v>270.4894296374922</x:v>
      </x:c>
      <x:c r="L106" s="314" t="n">
        <x:f>J106/E106</x:f>
        <x:v>52.80898273582814</x:v>
      </x:c>
      <x:c r="M106" s="305" t="n">
        <x:f>J106/I106</x:f>
        <x:v>19523.492214317695</x:v>
      </x:c>
      <x:c r="N106" s="299" t="str">
        <x:v>https://www.ic3.gov/AnnualReport/Reports/2024_IC3Report.pdf</x:v>
      </x:c>
      <x:c r="O106" s="299" t="str">
        <x:v>https://www.census.gov/programs-surveys/acs/data/summary-file.2023.html</x:v>
      </x:c>
    </x:row>
    <x:row r="107">
      <x:c r="A107" s="299" t="n">
        <x:v>2024</x:v>
      </x:c>
      <x:c r="B107" s="299" t="str">
        <x:v>Arkansas</x:v>
      </x:c>
      <x:c r="C107" s="299" t="str">
        <x:v>South</x:v>
      </x:c>
      <x:c r="D107" s="299" t="n">
        <x:v>2023</x:v>
      </x:c>
      <x:c r="E107" s="302" t="n">
        <x:v>3067732</x:v>
      </x:c>
      <x:c r="F107" s="305" t="n">
        <x:v>58700</x:v>
      </x:c>
      <x:c r="G107" s="308" t="n">
        <x:v>0.17958087603480355</x:v>
      </x:c>
      <x:c r="H107" s="308" t="n">
        <x:v>0.8846935324133669</x:v>
      </x:c>
      <x:c r="I107" s="302" t="n">
        <x:v>4240</x:v>
      </x:c>
      <x:c r="J107" s="302" t="n">
        <x:v>51714039</x:v>
      </x:c>
      <x:c r="K107" s="311" t="n">
        <x:f>I107/E107*100000</x:f>
        <x:v>138.21285562102557</x:v>
      </x:c>
      <x:c r="L107" s="314" t="n">
        <x:f>J107/E107</x:f>
        <x:v>16.857417466714825</x:v>
      </x:c>
      <x:c r="M107" s="305" t="n">
        <x:f>J107/I107</x:f>
        <x:v>12196.707311320755</x:v>
      </x:c>
      <x:c r="N107" s="299" t="str">
        <x:v>https://www.ic3.gov/AnnualReport/Reports/2024_IC3Report.pdf</x:v>
      </x:c>
      <x:c r="O107" s="299" t="str">
        <x:v>https://www.census.gov/programs-surveys/acs/data/summary-file.2023.html</x:v>
      </x:c>
    </x:row>
    <x:row r="108">
      <x:c r="A108" s="299" t="n">
        <x:v>2024</x:v>
      </x:c>
      <x:c r="B108" s="299" t="str">
        <x:v>California</x:v>
      </x:c>
      <x:c r="C108" s="299" t="str">
        <x:v>West</x:v>
      </x:c>
      <x:c r="D108" s="299" t="n">
        <x:v>2023</x:v>
      </x:c>
      <x:c r="E108" s="302" t="n">
        <x:v>38965193</x:v>
      </x:c>
      <x:c r="F108" s="305" t="n">
        <x:v>95521</x:v>
      </x:c>
      <x:c r="G108" s="308" t="n">
        <x:v>0.16198864971617105</x:v>
      </x:c>
      <x:c r="H108" s="308" t="n">
        <x:v>0.9430795274914641</x:v>
      </x:c>
      <x:c r="I108" s="302" t="n">
        <x:v>96265</x:v>
      </x:c>
      <x:c r="J108" s="302" t="n">
        <x:v>2539041635</x:v>
      </x:c>
      <x:c r="K108" s="311" t="n">
        <x:f>I108/E108*100000</x:f>
        <x:v>247.0538257054187</x:v>
      </x:c>
      <x:c r="L108" s="314" t="n">
        <x:f>J108/E108</x:f>
        <x:v>65.1617877268053</x:v>
      </x:c>
      <x:c r="M108" s="305" t="n">
        <x:f>J108/I108</x:f>
        <x:v>26375.54287643484</x:v>
      </x:c>
      <x:c r="N108" s="299" t="str">
        <x:v>https://www.ic3.gov/AnnualReport/Reports/2024_IC3Report.pdf</x:v>
      </x:c>
      <x:c r="O108" s="299" t="str">
        <x:v>https://www.census.gov/programs-surveys/acs/data/summary-file.2023.html</x:v>
      </x:c>
    </x:row>
    <x:row r="109">
      <x:c r="A109" s="299" t="n">
        <x:v>2024</x:v>
      </x:c>
      <x:c r="B109" s="299" t="str">
        <x:v>Colorado</x:v>
      </x:c>
      <x:c r="C109" s="299" t="str">
        <x:v>West</x:v>
      </x:c>
      <x:c r="D109" s="299" t="n">
        <x:v>2023</x:v>
      </x:c>
      <x:c r="E109" s="302" t="n">
        <x:v>5877610</x:v>
      </x:c>
      <x:c r="F109" s="305" t="n">
        <x:v>92911</x:v>
      </x:c>
      <x:c r="G109" s="308" t="n">
        <x:v>0.16070171379183035</x:v>
      </x:c>
      <x:c r="H109" s="308" t="n">
        <x:v>0.9460305131944219</x:v>
      </x:c>
      <x:c r="I109" s="302" t="n">
        <x:v>14848</x:v>
      </x:c>
      <x:c r="J109" s="302" t="n">
        <x:v>243517403</x:v>
      </x:c>
      <x:c r="K109" s="311" t="n">
        <x:f>I109/E109*100000</x:f>
        <x:v>252.61968725383278</x:v>
      </x:c>
      <x:c r="L109" s="314" t="n">
        <x:f>J109/E109</x:f>
        <x:v>41.43136461929254</x:v>
      </x:c>
      <x:c r="M109" s="305" t="n">
        <x:f>J109/I109</x:f>
        <x:v>16400.68716325431</x:v>
      </x:c>
      <x:c r="N109" s="299" t="str">
        <x:v>https://www.ic3.gov/AnnualReport/Reports/2024_IC3Report.pdf</x:v>
      </x:c>
      <x:c r="O109" s="299" t="str">
        <x:v>https://www.census.gov/programs-surveys/acs/data/summary-file.2023.html</x:v>
      </x:c>
    </x:row>
    <x:row r="110">
      <x:c r="A110" s="299" t="n">
        <x:v>2024</x:v>
      </x:c>
      <x:c r="B110" s="299" t="str">
        <x:v>Connecticut</x:v>
      </x:c>
      <x:c r="C110" s="299" t="str">
        <x:v>Northeast</x:v>
      </x:c>
      <x:c r="D110" s="299" t="n">
        <x:v>2023</x:v>
      </x:c>
      <x:c r="E110" s="302" t="n">
        <x:v>3617176</x:v>
      </x:c>
      <x:c r="F110" s="305" t="n">
        <x:v>91665</x:v>
      </x:c>
      <x:c r="G110" s="308" t="n">
        <x:v>0.19076511621220532</x:v>
      </x:c>
      <x:c r="H110" s="308" t="n">
        <x:v>0.9275764067003519</x:v>
      </x:c>
      <x:c r="I110" s="302" t="n">
        <x:v>5695</x:v>
      </x:c>
      <x:c r="J110" s="302" t="n">
        <x:v>143884002</x:v>
      </x:c>
      <x:c r="K110" s="311" t="n">
        <x:f>I110/E110*100000</x:f>
        <x:v>157.44326513279972</x:v>
      </x:c>
      <x:c r="L110" s="314" t="n">
        <x:f>J110/E110</x:f>
        <x:v>39.77799310843597</x:v>
      </x:c>
      <x:c r="M110" s="305" t="n">
        <x:f>J110/I110</x:f>
        <x:v>25264.969622475855</x:v>
      </x:c>
      <x:c r="N110" s="299" t="str">
        <x:v>https://www.ic3.gov/AnnualReport/Reports/2024_IC3Report.pdf</x:v>
      </x:c>
      <x:c r="O110" s="299" t="str">
        <x:v>https://www.census.gov/programs-surveys/acs/data/summary-file.2023.html</x:v>
      </x:c>
    </x:row>
    <x:row r="111">
      <x:c r="A111" s="299" t="n">
        <x:v>2024</x:v>
      </x:c>
      <x:c r="B111" s="299" t="str">
        <x:v>Delaware</x:v>
      </x:c>
      <x:c r="C111" s="299" t="str">
        <x:v>South</x:v>
      </x:c>
      <x:c r="D111" s="299" t="n">
        <x:v>2023</x:v>
      </x:c>
      <x:c r="E111" s="302" t="n">
        <x:v>1031890</x:v>
      </x:c>
      <x:c r="F111" s="305" t="n">
        <x:v>81361</x:v>
      </x:c>
      <x:c r="G111" s="308" t="n">
        <x:v>0.2131593483801568</x:v>
      </x:c>
      <x:c r="H111" s="308" t="n">
        <x:v>0.928384557138974</x:v>
      </x:c>
      <x:c r="I111" s="302" t="n">
        <x:v>2806</x:v>
      </x:c>
      <x:c r="J111" s="302" t="n">
        <x:v>37611598</x:v>
      </x:c>
      <x:c r="K111" s="311" t="n">
        <x:f>I111/E111*100000</x:f>
        <x:v>271.92820940216495</x:v>
      </x:c>
      <x:c r="L111" s="314" t="n">
        <x:f>J111/E111</x:f>
        <x:v>36.44923199178207</x:v>
      </x:c>
      <x:c r="M111" s="305" t="n">
        <x:f>J111/I111</x:f>
        <x:v>13403.990734141125</x:v>
      </x:c>
      <x:c r="N111" s="299" t="str">
        <x:v>https://www.ic3.gov/AnnualReport/Reports/2024_IC3Report.pdf</x:v>
      </x:c>
      <x:c r="O111" s="299" t="str">
        <x:v>https://www.census.gov/programs-surveys/acs/data/summary-file.2023.html</x:v>
      </x:c>
    </x:row>
    <x:row r="112">
      <x:c r="A112" s="299" t="n">
        <x:v>2024</x:v>
      </x:c>
      <x:c r="B112" s="299" t="str">
        <x:v>District of Columbia</x:v>
      </x:c>
      <x:c r="C112" s="299" t="str">
        <x:v>South</x:v>
      </x:c>
      <x:c r="D112" s="299" t="n">
        <x:v>2023</x:v>
      </x:c>
      <x:c r="E112" s="302" t="n">
        <x:v>678972</x:v>
      </x:c>
      <x:c r="F112" s="305" t="n">
        <x:v>108210</x:v>
      </x:c>
      <x:c r="G112" s="308" t="n">
        <x:v>0.13107462457951138</x:v>
      </x:c>
      <x:c r="H112" s="308" t="n">
        <x:v>0.9213351540160096</x:v>
      </x:c>
      <x:c r="I112" s="302" t="n">
        <x:v>3856</x:v>
      </x:c>
      <x:c r="J112" s="302" t="n">
        <x:v>291531458</x:v>
      </x:c>
      <x:c r="K112" s="311" t="n">
        <x:f>I112/E112*100000</x:f>
        <x:v>567.9173809818373</x:v>
      </x:c>
      <x:c r="L112" s="314" t="n">
        <x:f>J112/E112</x:f>
        <x:v>429.3718415486942</x:v>
      </x:c>
      <x:c r="M112" s="305" t="n">
        <x:f>J112/I112</x:f>
        <x:v>75604.63122406638</x:v>
      </x:c>
      <x:c r="N112" s="299" t="str">
        <x:v>https://www.ic3.gov/AnnualReport/Reports/2024_IC3Report.pdf</x:v>
      </x:c>
      <x:c r="O112" s="299" t="str">
        <x:v>https://www.census.gov/programs-surveys/acs/data/summary-file.2023.html</x:v>
      </x:c>
    </x:row>
    <x:row r="113">
      <x:c r="A113" s="299" t="n">
        <x:v>2024</x:v>
      </x:c>
      <x:c r="B113" s="299" t="str">
        <x:v>Florida</x:v>
      </x:c>
      <x:c r="C113" s="299" t="str">
        <x:v>South</x:v>
      </x:c>
      <x:c r="D113" s="299" t="n">
        <x:v>2023</x:v>
      </x:c>
      <x:c r="E113" s="302" t="n">
        <x:v>22610726</x:v>
      </x:c>
      <x:c r="F113" s="305" t="n">
        <x:v>73311</x:v>
      </x:c>
      <x:c r="G113" s="308" t="n">
        <x:v>0.21749774863487356</x:v>
      </x:c>
      <x:c r="H113" s="308" t="n">
        <x:v>0.9300054804591631</x:v>
      </x:c>
      <x:c r="I113" s="302" t="n">
        <x:v>52191</x:v>
      </x:c>
      <x:c r="J113" s="302" t="n">
        <x:v>1071909632</x:v>
      </x:c>
      <x:c r="K113" s="311" t="n">
        <x:f>I113/E113*100000</x:f>
        <x:v>230.82407880224633</x:v>
      </x:c>
      <x:c r="L113" s="314" t="n">
        <x:f>J113/E113</x:f>
        <x:v>47.4071302266013</x:v>
      </x:c>
      <x:c r="M113" s="305" t="n">
        <x:f>J113/I113</x:f>
        <x:v>20538.208350098677</x:v>
      </x:c>
      <x:c r="N113" s="299" t="str">
        <x:v>https://www.ic3.gov/AnnualReport/Reports/2024_IC3Report.pdf</x:v>
      </x:c>
      <x:c r="O113" s="299" t="str">
        <x:v>https://www.census.gov/programs-surveys/acs/data/summary-file.2023.html</x:v>
      </x:c>
    </x:row>
    <x:row r="114">
      <x:c r="A114" s="299" t="n">
        <x:v>2024</x:v>
      </x:c>
      <x:c r="B114" s="299" t="str">
        <x:v>Georgia</x:v>
      </x:c>
      <x:c r="C114" s="299" t="str">
        <x:v>South</x:v>
      </x:c>
      <x:c r="D114" s="299" t="n">
        <x:v>2023</x:v>
      </x:c>
      <x:c r="E114" s="302" t="n">
        <x:v>11029227</x:v>
      </x:c>
      <x:c r="F114" s="305" t="n">
        <x:v>74632</x:v>
      </x:c>
      <x:c r="G114" s="308" t="n">
        <x:v>0.15406791427903332</x:v>
      </x:c>
      <x:c r="H114" s="308" t="n">
        <x:v>0.9248574384755398</x:v>
      </x:c>
      <x:c r="I114" s="302" t="n">
        <x:v>19797</x:v>
      </x:c>
      <x:c r="J114" s="302" t="n">
        <x:v>420454472</x:v>
      </x:c>
      <x:c r="K114" s="311" t="n">
        <x:f>I114/E114*100000</x:f>
        <x:v>179.49580691375743</x:v>
      </x:c>
      <x:c r="L114" s="314" t="n">
        <x:f>J114/E114</x:f>
        <x:v>38.12184407846534</x:v>
      </x:c>
      <x:c r="M114" s="305" t="n">
        <x:f>J114/I114</x:f>
        <x:v>21238.292266505025</x:v>
      </x:c>
      <x:c r="N114" s="299" t="str">
        <x:v>https://www.ic3.gov/AnnualReport/Reports/2024_IC3Report.pdf</x:v>
      </x:c>
      <x:c r="O114" s="299" t="str">
        <x:v>https://www.census.gov/programs-surveys/acs/data/summary-file.2023.html</x:v>
      </x:c>
    </x:row>
    <x:row r="115">
      <x:c r="A115" s="299" t="n">
        <x:v>2024</x:v>
      </x:c>
      <x:c r="B115" s="299" t="str">
        <x:v>Hawaii</x:v>
      </x:c>
      <x:c r="C115" s="299" t="str">
        <x:v>West</x:v>
      </x:c>
      <x:c r="D115" s="299" t="n">
        <x:v>2023</x:v>
      </x:c>
      <x:c r="E115" s="302" t="n">
        <x:v>1435138</x:v>
      </x:c>
      <x:c r="F115" s="305" t="n">
        <x:v>95322</x:v>
      </x:c>
      <x:c r="G115" s="308" t="n">
        <x:v>0.21137479461905406</x:v>
      </x:c>
      <x:c r="H115" s="308" t="n">
        <x:v>0.9272926798650734</x:v>
      </x:c>
      <x:c r="I115" s="302" t="n">
        <x:v>2603</x:v>
      </x:c>
      <x:c r="J115" s="302" t="n">
        <x:v>55180901</x:v>
      </x:c>
      <x:c r="K115" s="311" t="n">
        <x:f>I115/E115*100000</x:f>
        <x:v>181.37628576485326</x:v>
      </x:c>
      <x:c r="L115" s="314" t="n">
        <x:f>J115/E115</x:f>
        <x:v>38.44989192676941</x:v>
      </x:c>
      <x:c r="M115" s="305" t="n">
        <x:f>J115/I115</x:f>
        <x:v>21198.963119477525</x:v>
      </x:c>
      <x:c r="N115" s="299" t="str">
        <x:v>https://www.ic3.gov/AnnualReport/Reports/2024_IC3Report.pdf</x:v>
      </x:c>
      <x:c r="O115" s="299" t="str">
        <x:v>https://www.census.gov/programs-surveys/acs/data/summary-file.2023.html</x:v>
      </x:c>
    </x:row>
    <x:row r="116">
      <x:c r="A116" s="299" t="n">
        <x:v>2024</x:v>
      </x:c>
      <x:c r="B116" s="299" t="str">
        <x:v>Idaho</x:v>
      </x:c>
      <x:c r="C116" s="299" t="str">
        <x:v>West</x:v>
      </x:c>
      <x:c r="D116" s="299" t="n">
        <x:v>2023</x:v>
      </x:c>
      <x:c r="E116" s="302" t="n">
        <x:v>1964726</x:v>
      </x:c>
      <x:c r="F116" s="305" t="n">
        <x:v>74942</x:v>
      </x:c>
      <x:c r="G116" s="308" t="n">
        <x:v>0.1742018988907359</x:v>
      </x:c>
      <x:c r="H116" s="308" t="n">
        <x:v>0.9292554729394308</x:v>
      </x:c>
      <x:c r="I116" s="302" t="n">
        <x:v>3081</x:v>
      </x:c>
      <x:c r="J116" s="302" t="n">
        <x:v>63035342</x:v>
      </x:c>
      <x:c r="K116" s="311" t="n">
        <x:f>I116/E116*100000</x:f>
        <x:v>156.8157595512046</x:v>
      </x:c>
      <x:c r="L116" s="314" t="n">
        <x:f>J116/E116</x:f>
        <x:v>32.08352818662755</x:v>
      </x:c>
      <x:c r="M116" s="305" t="n">
        <x:f>J116/I116</x:f>
        <x:v>20459.37747484583</x:v>
      </x:c>
      <x:c r="N116" s="299" t="str">
        <x:v>https://www.ic3.gov/AnnualReport/Reports/2024_IC3Report.pdf</x:v>
      </x:c>
      <x:c r="O116" s="299" t="str">
        <x:v>https://www.census.gov/programs-surveys/acs/data/summary-file.2023.html</x:v>
      </x:c>
    </x:row>
    <x:row r="117">
      <x:c r="A117" s="299" t="n">
        <x:v>2024</x:v>
      </x:c>
      <x:c r="B117" s="299" t="str">
        <x:v>Illinois</x:v>
      </x:c>
      <x:c r="C117" s="299" t="str">
        <x:v>Midwest</x:v>
      </x:c>
      <x:c r="D117" s="299" t="n">
        <x:v>2023</x:v>
      </x:c>
      <x:c r="E117" s="302" t="n">
        <x:v>12549689</x:v>
      </x:c>
      <x:c r="F117" s="305" t="n">
        <x:v>80306</x:v>
      </x:c>
      <x:c r="G117" s="308" t="n">
        <x:v>0.17576770229126792</x:v>
      </x:c>
      <x:c r="H117" s="308" t="n">
        <x:v>0.9177412128831964</x:v>
      </x:c>
      <x:c r="I117" s="302" t="n">
        <x:v>25446</x:v>
      </x:c>
      <x:c r="J117" s="302" t="n">
        <x:v>479054271</x:v>
      </x:c>
      <x:c r="K117" s="311" t="n">
        <x:f>I117/E117*100000</x:f>
        <x:v>202.76199673155247</x:v>
      </x:c>
      <x:c r="L117" s="314" t="n">
        <x:f>J117/E117</x:f>
        <x:v>38.17260101027205</x:v>
      </x:c>
      <x:c r="M117" s="305" t="n">
        <x:f>J117/I117</x:f>
        <x:v>18826.309478896488</x:v>
      </x:c>
      <x:c r="N117" s="299" t="str">
        <x:v>https://www.ic3.gov/AnnualReport/Reports/2024_IC3Report.pdf</x:v>
      </x:c>
      <x:c r="O117" s="299" t="str">
        <x:v>https://www.census.gov/programs-surveys/acs/data/summary-file.2023.html</x:v>
      </x:c>
    </x:row>
    <x:row r="118">
      <x:c r="A118" s="299" t="n">
        <x:v>2024</x:v>
      </x:c>
      <x:c r="B118" s="299" t="str">
        <x:v>Indiana</x:v>
      </x:c>
      <x:c r="C118" s="299" t="str">
        <x:v>Midwest</x:v>
      </x:c>
      <x:c r="D118" s="299" t="n">
        <x:v>2023</x:v>
      </x:c>
      <x:c r="E118" s="302" t="n">
        <x:v>6862199</x:v>
      </x:c>
      <x:c r="F118" s="305" t="n">
        <x:v>69477</x:v>
      </x:c>
      <x:c r="G118" s="308" t="n">
        <x:v>0.17218503864431794</x:v>
      </x:c>
      <x:c r="H118" s="308" t="n">
        <x:v>0.9094937313081762</x:v>
      </x:c>
      <x:c r="I118" s="302" t="n">
        <x:v>23659</x:v>
      </x:c>
      <x:c r="J118" s="302" t="n">
        <x:v>125093323</x:v>
      </x:c>
      <x:c r="K118" s="311" t="n">
        <x:f>I118/E118*100000</x:f>
        <x:v>344.77286362578525</x:v>
      </x:c>
      <x:c r="L118" s="314" t="n">
        <x:f>J118/E118</x:f>
        <x:v>18.229334794866777</x:v>
      </x:c>
      <x:c r="M118" s="305" t="n">
        <x:f>J118/I118</x:f>
        <x:v>5287.346168477112</x:v>
      </x:c>
      <x:c r="N118" s="299" t="str">
        <x:v>https://www.ic3.gov/AnnualReport/Reports/2024_IC3Report.pdf</x:v>
      </x:c>
      <x:c r="O118" s="299" t="str">
        <x:v>https://www.census.gov/programs-surveys/acs/data/summary-file.2023.html</x:v>
      </x:c>
    </x:row>
    <x:row r="119">
      <x:c r="A119" s="299" t="n">
        <x:v>2024</x:v>
      </x:c>
      <x:c r="B119" s="299" t="str">
        <x:v>Iowa</x:v>
      </x:c>
      <x:c r="C119" s="299" t="str">
        <x:v>Midwest</x:v>
      </x:c>
      <x:c r="D119" s="299" t="n">
        <x:v>2023</x:v>
      </x:c>
      <x:c r="E119" s="302" t="n">
        <x:v>3207004</x:v>
      </x:c>
      <x:c r="F119" s="305" t="n">
        <x:v>71433</x:v>
      </x:c>
      <x:c r="G119" s="308" t="n">
        <x:v>0.18549649454755904</x:v>
      </x:c>
      <x:c r="H119" s="308" t="n">
        <x:v>0.9015938015753308</x:v>
      </x:c>
      <x:c r="I119" s="302" t="n">
        <x:v>7193</x:v>
      </x:c>
      <x:c r="J119" s="302" t="n">
        <x:v>72860333</x:v>
      </x:c>
      <x:c r="K119" s="311" t="n">
        <x:f>I119/E119*100000</x:f>
        <x:v>224.2903345302968</x:v>
      </x:c>
      <x:c r="L119" s="314" t="n">
        <x:f>J119/E119</x:f>
        <x:v>22.719127572026725</x:v>
      </x:c>
      <x:c r="M119" s="305" t="n">
        <x:f>J119/I119</x:f>
        <x:v>10129.338662588629</x:v>
      </x:c>
      <x:c r="N119" s="299" t="str">
        <x:v>https://www.ic3.gov/AnnualReport/Reports/2024_IC3Report.pdf</x:v>
      </x:c>
      <x:c r="O119" s="299" t="str">
        <x:v>https://www.census.gov/programs-surveys/acs/data/summary-file.2023.html</x:v>
      </x:c>
    </x:row>
    <x:row r="120">
      <x:c r="A120" s="299" t="n">
        <x:v>2024</x:v>
      </x:c>
      <x:c r="B120" s="299" t="str">
        <x:v>Kansas</x:v>
      </x:c>
      <x:c r="C120" s="299" t="str">
        <x:v>Midwest</x:v>
      </x:c>
      <x:c r="D120" s="299" t="n">
        <x:v>2023</x:v>
      </x:c>
      <x:c r="E120" s="302" t="n">
        <x:v>2940547</x:v>
      </x:c>
      <x:c r="F120" s="305" t="n">
        <x:v>70333</x:v>
      </x:c>
      <x:c r="G120" s="308" t="n">
        <x:v>0.17628182783679364</x:v>
      </x:c>
      <x:c r="H120" s="308" t="n">
        <x:v>0.9171424003231398</x:v>
      </x:c>
      <x:c r="I120" s="302" t="n">
        <x:v>4797</x:v>
      </x:c>
      <x:c r="J120" s="302" t="n">
        <x:v>80300908</x:v>
      </x:c>
      <x:c r="K120" s="311" t="n">
        <x:f>I120/E120*100000</x:f>
        <x:v>163.1329137061914</x:v>
      </x:c>
      <x:c r="L120" s="314" t="n">
        <x:f>J120/E120</x:f>
        <x:v>27.30815321095021</x:v>
      </x:c>
      <x:c r="M120" s="305" t="n">
        <x:f>J120/I120</x:f>
        <x:v>16739.81821972066</x:v>
      </x:c>
      <x:c r="N120" s="299" t="str">
        <x:v>https://www.ic3.gov/AnnualReport/Reports/2024_IC3Report.pdf</x:v>
      </x:c>
      <x:c r="O120" s="299" t="str">
        <x:v>https://www.census.gov/programs-surveys/acs/data/summary-file.2023.html</x:v>
      </x:c>
    </x:row>
    <x:row r="121">
      <x:c r="A121" s="299" t="n">
        <x:v>2024</x:v>
      </x:c>
      <x:c r="B121" s="299" t="str">
        <x:v>Kentucky</x:v>
      </x:c>
      <x:c r="C121" s="299" t="str">
        <x:v>South</x:v>
      </x:c>
      <x:c r="D121" s="299" t="n">
        <x:v>2023</x:v>
      </x:c>
      <x:c r="E121" s="302" t="n">
        <x:v>4526154</x:v>
      </x:c>
      <x:c r="F121" s="305" t="n">
        <x:v>61118</x:v>
      </x:c>
      <x:c r="G121" s="308" t="n">
        <x:v>0.1778039368523475</x:v>
      </x:c>
      <x:c r="H121" s="308" t="n">
        <x:v>0.9016439874126229</x:v>
      </x:c>
      <x:c r="I121" s="302" t="n">
        <x:v>6165</x:v>
      </x:c>
      <x:c r="J121" s="302" t="n">
        <x:v>73919940</x:v>
      </x:c>
      <x:c r="K121" s="311" t="n">
        <x:f>I121/E121*100000</x:f>
        <x:v>136.20835702894774</x:v>
      </x:c>
      <x:c r="L121" s="314" t="n">
        <x:f>J121/E121</x:f>
        <x:v>16.331733299397236</x:v>
      </x:c>
      <x:c r="M121" s="305" t="n">
        <x:f>J121/I121</x:f>
        <x:v>11990.257907542578</x:v>
      </x:c>
      <x:c r="N121" s="299" t="str">
        <x:v>https://www.ic3.gov/AnnualReport/Reports/2024_IC3Report.pdf</x:v>
      </x:c>
      <x:c r="O121" s="299" t="str">
        <x:v>https://www.census.gov/programs-surveys/acs/data/summary-file.2023.html</x:v>
      </x:c>
    </x:row>
    <x:row r="122">
      <x:c r="A122" s="299" t="n">
        <x:v>2024</x:v>
      </x:c>
      <x:c r="B122" s="299" t="str">
        <x:v>Louisiana</x:v>
      </x:c>
      <x:c r="C122" s="299" t="str">
        <x:v>South</x:v>
      </x:c>
      <x:c r="D122" s="299" t="n">
        <x:v>2023</x:v>
      </x:c>
      <x:c r="E122" s="302" t="n">
        <x:v>4573749</x:v>
      </x:c>
      <x:c r="F122" s="305" t="n">
        <x:v>58229</x:v>
      </x:c>
      <x:c r="G122" s="308" t="n">
        <x:v>0.1737285976996114</x:v>
      </x:c>
      <x:c r="H122" s="308" t="n">
        <x:v>0.8807807341125407</x:v>
      </x:c>
      <x:c r="I122" s="302" t="n">
        <x:v>6455</x:v>
      </x:c>
      <x:c r="J122" s="302" t="n">
        <x:v>87411457</x:v>
      </x:c>
      <x:c r="K122" s="311" t="n">
        <x:f>I122/E122*100000</x:f>
        <x:v>141.131487538997</x:v>
      </x:c>
      <x:c r="L122" s="314" t="n">
        <x:f>J122/E122</x:f>
        <x:v>19.111555312720483</x:v>
      </x:c>
      <x:c r="M122" s="305" t="n">
        <x:f>J122/I122</x:f>
        <x:v>13541.666460108443</x:v>
      </x:c>
      <x:c r="N122" s="299" t="str">
        <x:v>https://www.ic3.gov/AnnualReport/Reports/2024_IC3Report.pdf</x:v>
      </x:c>
      <x:c r="O122" s="299" t="str">
        <x:v>https://www.census.gov/programs-surveys/acs/data/summary-file.2023.html</x:v>
      </x:c>
    </x:row>
    <x:row r="123">
      <x:c r="A123" s="299" t="n">
        <x:v>2024</x:v>
      </x:c>
      <x:c r="B123" s="299" t="str">
        <x:v>Maine</x:v>
      </x:c>
      <x:c r="C123" s="299" t="str">
        <x:v>Northeast</x:v>
      </x:c>
      <x:c r="D123" s="299" t="n">
        <x:v>2023</x:v>
      </x:c>
      <x:c r="E123" s="302" t="n">
        <x:v>1395722</x:v>
      </x:c>
      <x:c r="F123" s="305" t="n">
        <x:v>73733</x:v>
      </x:c>
      <x:c r="G123" s="308" t="n">
        <x:v>0.22935799536010756</x:v>
      </x:c>
      <x:c r="H123" s="308" t="n">
        <x:v>0.920351899494388</x:v>
      </x:c>
      <x:c r="I123" s="302" t="n">
        <x:v>2137</x:v>
      </x:c>
      <x:c r="J123" s="302" t="n">
        <x:v>31455797</x:v>
      </x:c>
      <x:c r="K123" s="311" t="n">
        <x:f>I123/E123*100000</x:f>
        <x:v>153.11071975651313</x:v>
      </x:c>
      <x:c r="L123" s="314" t="n">
        <x:f>J123/E123</x:f>
        <x:v>22.537293959685382</x:v>
      </x:c>
      <x:c r="M123" s="305" t="n">
        <x:f>J123/I123</x:f>
        <x:v>14719.605521759477</x:v>
      </x:c>
      <x:c r="N123" s="299" t="str">
        <x:v>https://www.ic3.gov/AnnualReport/Reports/2024_IC3Report.pdf</x:v>
      </x:c>
      <x:c r="O123" s="299" t="str">
        <x:v>https://www.census.gov/programs-surveys/acs/data/summary-file.2023.html</x:v>
      </x:c>
    </x:row>
    <x:row r="124">
      <x:c r="A124" s="299" t="n">
        <x:v>2024</x:v>
      </x:c>
      <x:c r="B124" s="299" t="str">
        <x:v>Maryland</x:v>
      </x:c>
      <x:c r="C124" s="299" t="str">
        <x:v>South</x:v>
      </x:c>
      <x:c r="D124" s="299" t="n">
        <x:v>2023</x:v>
      </x:c>
      <x:c r="E124" s="302" t="n">
        <x:v>6180253</x:v>
      </x:c>
      <x:c r="F124" s="305" t="n">
        <x:v>98678</x:v>
      </x:c>
      <x:c r="G124" s="308" t="n">
        <x:v>0.1725880801319946</x:v>
      </x:c>
      <x:c r="H124" s="308" t="n">
        <x:v>0.93013420890966</x:v>
      </x:c>
      <x:c r="I124" s="302" t="n">
        <x:v>14996</x:v>
      </x:c>
      <x:c r="J124" s="302" t="n">
        <x:v>238976904</x:v>
      </x:c>
      <x:c r="K124" s="311" t="n">
        <x:f>I124/E124*100000</x:f>
        <x:v>242.64378820737596</x:v>
      </x:c>
      <x:c r="L124" s="314" t="n">
        <x:f>J124/E124</x:f>
        <x:v>38.66781893880396</x:v>
      </x:c>
      <x:c r="M124" s="305" t="n">
        <x:f>J124/I124</x:f>
        <x:v>15936.043211523072</x:v>
      </x:c>
      <x:c r="N124" s="299" t="str">
        <x:v>https://www.ic3.gov/AnnualReport/Reports/2024_IC3Report.pdf</x:v>
      </x:c>
      <x:c r="O124" s="299" t="str">
        <x:v>https://www.census.gov/programs-surveys/acs/data/summary-file.2023.html</x:v>
      </x:c>
    </x:row>
    <x:row r="125">
      <x:c r="A125" s="299" t="n">
        <x:v>2024</x:v>
      </x:c>
      <x:c r="B125" s="299" t="str">
        <x:v>Massachusetts</x:v>
      </x:c>
      <x:c r="C125" s="299" t="str">
        <x:v>Northeast</x:v>
      </x:c>
      <x:c r="D125" s="299" t="n">
        <x:v>2023</x:v>
      </x:c>
      <x:c r="E125" s="302" t="n">
        <x:v>7001399</x:v>
      </x:c>
      <x:c r="F125" s="305" t="n">
        <x:v>99858</x:v>
      </x:c>
      <x:c r="G125" s="308" t="n">
        <x:v>0.18466080850412897</x:v>
      </x:c>
      <x:c r="H125" s="308" t="n">
        <x:v>0.9394598469680655</x:v>
      </x:c>
      <x:c r="I125" s="302" t="n">
        <x:v>14254</x:v>
      </x:c>
      <x:c r="J125" s="302" t="n">
        <x:v>338872378</x:v>
      </x:c>
      <x:c r="K125" s="311" t="n">
        <x:f>I125/E125*100000</x:f>
        <x:v>203.5878829359675</x:v>
      </x:c>
      <x:c r="L125" s="314" t="n">
        <x:f>J125/E125</x:f>
        <x:v>48.40066649536757</x:v>
      </x:c>
      <x:c r="M125" s="305" t="n">
        <x:f>J125/I125</x:f>
        <x:v>23773.844394555916</x:v>
      </x:c>
      <x:c r="N125" s="299" t="str">
        <x:v>https://www.ic3.gov/AnnualReport/Reports/2024_IC3Report.pdf</x:v>
      </x:c>
      <x:c r="O125" s="299" t="str">
        <x:v>https://www.census.gov/programs-surveys/acs/data/summary-file.2023.html</x:v>
      </x:c>
    </x:row>
    <x:row r="126">
      <x:c r="A126" s="299" t="n">
        <x:v>2024</x:v>
      </x:c>
      <x:c r="B126" s="299" t="str">
        <x:v>Michigan</x:v>
      </x:c>
      <x:c r="C126" s="299" t="str">
        <x:v>Midwest</x:v>
      </x:c>
      <x:c r="D126" s="299" t="n">
        <x:v>2023</x:v>
      </x:c>
      <x:c r="E126" s="302" t="n">
        <x:v>10037261</x:v>
      </x:c>
      <x:c r="F126" s="305" t="n">
        <x:v>69183</x:v>
      </x:c>
      <x:c r="G126" s="308" t="n">
        <x:v>0.19250520635061696</x:v>
      </x:c>
      <x:c r="H126" s="308" t="n">
        <x:v>0.9169472095708442</x:v>
      </x:c>
      <x:c r="I126" s="302" t="n">
        <x:v>16302</x:v>
      </x:c>
      <x:c r="J126" s="302" t="n">
        <x:v>241737979</x:v>
      </x:c>
      <x:c r="K126" s="311" t="n">
        <x:f>I126/E126*100000</x:f>
        <x:v>162.41482611640765</x:v>
      </x:c>
      <x:c r="L126" s="314" t="n">
        <x:f>J126/E126</x:f>
        <x:v>24.084058290404126</x:v>
      </x:c>
      <x:c r="M126" s="305" t="n">
        <x:f>J126/I126</x:f>
        <x:v>14828.731382652435</x:v>
      </x:c>
      <x:c r="N126" s="299" t="str">
        <x:v>https://www.ic3.gov/AnnualReport/Reports/2024_IC3Report.pdf</x:v>
      </x:c>
      <x:c r="O126" s="299" t="str">
        <x:v>https://www.census.gov/programs-surveys/acs/data/summary-file.2023.html</x:v>
      </x:c>
    </x:row>
    <x:row r="127">
      <x:c r="A127" s="299" t="n">
        <x:v>2024</x:v>
      </x:c>
      <x:c r="B127" s="299" t="str">
        <x:v>Minnesota</x:v>
      </x:c>
      <x:c r="C127" s="299" t="str">
        <x:v>Midwest</x:v>
      </x:c>
      <x:c r="D127" s="299" t="n">
        <x:v>2023</x:v>
      </x:c>
      <x:c r="E127" s="302" t="n">
        <x:v>5737915</x:v>
      </x:c>
      <x:c r="F127" s="305" t="n">
        <x:v>85086</x:v>
      </x:c>
      <x:c r="G127" s="308" t="n">
        <x:v>0.1787980477229098</x:v>
      </x:c>
      <x:c r="H127" s="308" t="n">
        <x:v>0.923714571375924</x:v>
      </x:c>
      <x:c r="I127" s="302" t="n">
        <x:v>9264</x:v>
      </x:c>
      <x:c r="J127" s="302" t="n">
        <x:v>203352530</x:v>
      </x:c>
      <x:c r="K127" s="311" t="n">
        <x:f>I127/E127*100000</x:f>
        <x:v>161.45237425092563</x:v>
      </x:c>
      <x:c r="L127" s="314" t="n">
        <x:f>J127/E127</x:f>
        <x:v>35.440143327323604</x:v>
      </x:c>
      <x:c r="M127" s="305" t="n">
        <x:f>J127/I127</x:f>
        <x:v>21950.834412780656</x:v>
      </x:c>
      <x:c r="N127" s="299" t="str">
        <x:v>https://www.ic3.gov/AnnualReport/Reports/2024_IC3Report.pdf</x:v>
      </x:c>
      <x:c r="O127" s="299" t="str">
        <x:v>https://www.census.gov/programs-surveys/acs/data/summary-file.2023.html</x:v>
      </x:c>
    </x:row>
    <x:row r="128">
      <x:c r="A128" s="299" t="n">
        <x:v>2024</x:v>
      </x:c>
      <x:c r="B128" s="299" t="str">
        <x:v>Mississippi</x:v>
      </x:c>
      <x:c r="C128" s="299" t="str">
        <x:v>South</x:v>
      </x:c>
      <x:c r="D128" s="299" t="n">
        <x:v>2023</x:v>
      </x:c>
      <x:c r="E128" s="302" t="n">
        <x:v>2939690</x:v>
      </x:c>
      <x:c r="F128" s="305" t="n">
        <x:v>54203</x:v>
      </x:c>
      <x:c r="G128" s="308" t="n">
        <x:v>0.1756960767972133</x:v>
      </x:c>
      <x:c r="H128" s="308" t="n">
        <x:v>0.8664446000701173</x:v>
      </x:c>
      <x:c r="I128" s="302" t="n">
        <x:v>3068</x:v>
      </x:c>
      <x:c r="J128" s="302" t="n">
        <x:v>65613936</x:v>
      </x:c>
      <x:c r="K128" s="311" t="n">
        <x:f>I128/E128*100000</x:f>
        <x:v>104.3647459425994</x:v>
      </x:c>
      <x:c r="L128" s="314" t="n">
        <x:f>J128/E128</x:f>
        <x:v>22.320018777490144</x:v>
      </x:c>
      <x:c r="M128" s="305" t="n">
        <x:f>J128/I128</x:f>
        <x:v>21386.550195567146</x:v>
      </x:c>
      <x:c r="N128" s="299" t="str">
        <x:v>https://www.ic3.gov/AnnualReport/Reports/2024_IC3Report.pdf</x:v>
      </x:c>
      <x:c r="O128" s="299" t="str">
        <x:v>https://www.census.gov/programs-surveys/acs/data/summary-file.2023.html</x:v>
      </x:c>
    </x:row>
    <x:row r="129">
      <x:c r="A129" s="299" t="n">
        <x:v>2024</x:v>
      </x:c>
      <x:c r="B129" s="299" t="str">
        <x:v>Missouri</x:v>
      </x:c>
      <x:c r="C129" s="299" t="str">
        <x:v>Midwest</x:v>
      </x:c>
      <x:c r="D129" s="299" t="n">
        <x:v>2023</x:v>
      </x:c>
      <x:c r="E129" s="302" t="n">
        <x:v>6196156</x:v>
      </x:c>
      <x:c r="F129" s="305" t="n">
        <x:v>68545</x:v>
      </x:c>
      <x:c r="G129" s="308" t="n">
        <x:v>0.18374246871770175</x:v>
      </x:c>
      <x:c r="H129" s="308" t="n">
        <x:v>0.9093421628614493</x:v>
      </x:c>
      <x:c r="I129" s="302" t="n">
        <x:v>10028</x:v>
      </x:c>
      <x:c r="J129" s="302" t="n">
        <x:v>183751987</x:v>
      </x:c>
      <x:c r="K129" s="311" t="n">
        <x:f>I129/E129*100000</x:f>
        <x:v>161.84227769604252</x:v>
      </x:c>
      <x:c r="L129" s="314" t="n">
        <x:f>J129/E129</x:f>
        <x:v>29.655803856455517</x:v>
      </x:c>
      <x:c r="M129" s="305" t="n">
        <x:f>J129/I129</x:f>
        <x:v>18323.891802951734</x:v>
      </x:c>
      <x:c r="N129" s="299" t="str">
        <x:v>https://www.ic3.gov/AnnualReport/Reports/2024_IC3Report.pdf</x:v>
      </x:c>
      <x:c r="O129" s="299" t="str">
        <x:v>https://www.census.gov/programs-surveys/acs/data/summary-file.2023.html</x:v>
      </x:c>
    </x:row>
    <x:row r="130">
      <x:c r="A130" s="299" t="n">
        <x:v>2024</x:v>
      </x:c>
      <x:c r="B130" s="299" t="str">
        <x:v>Montana</x:v>
      </x:c>
      <x:c r="C130" s="299" t="str">
        <x:v>West</x:v>
      </x:c>
      <x:c r="D130" s="299" t="n">
        <x:v>2023</x:v>
      </x:c>
      <x:c r="E130" s="302" t="n">
        <x:v>1132812</x:v>
      </x:c>
      <x:c r="F130" s="305" t="n">
        <x:v>70804</x:v>
      </x:c>
      <x:c r="G130" s="308" t="n">
        <x:v>0.20475595244400663</x:v>
      </x:c>
      <x:c r="H130" s="308" t="n">
        <x:v>0.9121803805298319</x:v>
      </x:c>
      <x:c r="I130" s="302" t="n">
        <x:v>1854</x:v>
      </x:c>
      <x:c r="J130" s="302" t="n">
        <x:v>31603407</x:v>
      </x:c>
      <x:c r="K130" s="311" t="n">
        <x:f>I130/E130*100000</x:f>
        <x:v>163.66352051355386</x:v>
      </x:c>
      <x:c r="L130" s="314" t="n">
        <x:f>J130/E130</x:f>
        <x:v>27.898192286098663</x:v>
      </x:c>
      <x:c r="M130" s="305" t="n">
        <x:f>J130/I130</x:f>
        <x:v>17046.066343042072</x:v>
      </x:c>
      <x:c r="N130" s="299" t="str">
        <x:v>https://www.ic3.gov/AnnualReport/Reports/2024_IC3Report.pdf</x:v>
      </x:c>
      <x:c r="O130" s="299" t="str">
        <x:v>https://www.census.gov/programs-surveys/acs/data/summary-file.2023.html</x:v>
      </x:c>
    </x:row>
    <x:row r="131">
      <x:c r="A131" s="299" t="n">
        <x:v>2024</x:v>
      </x:c>
      <x:c r="B131" s="299" t="str">
        <x:v>Nebraska</x:v>
      </x:c>
      <x:c r="C131" s="299" t="str">
        <x:v>Midwest</x:v>
      </x:c>
      <x:c r="D131" s="299" t="n">
        <x:v>2023</x:v>
      </x:c>
      <x:c r="E131" s="302" t="n">
        <x:v>1978379</x:v>
      </x:c>
      <x:c r="F131" s="305" t="n">
        <x:v>74590</x:v>
      </x:c>
      <x:c r="G131" s="308" t="n">
        <x:v>0.17232542399610995</x:v>
      </x:c>
      <x:c r="H131" s="308" t="n">
        <x:v>0.9221970746955265</x:v>
      </x:c>
      <x:c r="I131" s="302" t="n">
        <x:v>2603</x:v>
      </x:c>
      <x:c r="J131" s="302" t="n">
        <x:v>46730894</x:v>
      </x:c>
      <x:c r="K131" s="311" t="n">
        <x:f>I131/E131*100000</x:f>
        <x:v>131.57236303054168</x:v>
      </x:c>
      <x:c r="L131" s="314" t="n">
        <x:f>J131/E131</x:f>
        <x:v>23.620799654666776</x:v>
      </x:c>
      <x:c r="M131" s="305" t="n">
        <x:f>J131/I131</x:f>
        <x:v>17952.706108336533</x:v>
      </x:c>
      <x:c r="N131" s="299" t="str">
        <x:v>https://www.ic3.gov/AnnualReport/Reports/2024_IC3Report.pdf</x:v>
      </x:c>
      <x:c r="O131" s="299" t="str">
        <x:v>https://www.census.gov/programs-surveys/acs/data/summary-file.2023.html</x:v>
      </x:c>
    </x:row>
    <x:row r="132">
      <x:c r="A132" s="299" t="n">
        <x:v>2024</x:v>
      </x:c>
      <x:c r="B132" s="299" t="str">
        <x:v>Nevada</x:v>
      </x:c>
      <x:c r="C132" s="299" t="str">
        <x:v>West</x:v>
      </x:c>
      <x:c r="D132" s="299" t="n">
        <x:v>2023</x:v>
      </x:c>
      <x:c r="E132" s="302" t="n">
        <x:v>3194176</x:v>
      </x:c>
      <x:c r="F132" s="305" t="n">
        <x:v>76364</x:v>
      </x:c>
      <x:c r="G132" s="308" t="n">
        <x:v>0.17370958895189242</x:v>
      </x:c>
      <x:c r="H132" s="308" t="n">
        <x:v>0.9408958221910124</x:v>
      </x:c>
      <x:c r="I132" s="302" t="n">
        <x:v>10716</x:v>
      </x:c>
      <x:c r="J132" s="302" t="n">
        <x:v>268769310</x:v>
      </x:c>
      <x:c r="K132" s="311" t="n">
        <x:f>I132/E132*100000</x:f>
        <x:v>335.4855837624477</x:v>
      </x:c>
      <x:c r="L132" s="314" t="n">
        <x:f>J132/E132</x:f>
        <x:v>84.14355063715963</x:v>
      </x:c>
      <x:c r="M132" s="305" t="n">
        <x:f>J132/I132</x:f>
        <x:v>25081.12262038074</x:v>
      </x:c>
      <x:c r="N132" s="299" t="str">
        <x:v>https://www.ic3.gov/AnnualReport/Reports/2024_IC3Report.pdf</x:v>
      </x:c>
      <x:c r="O132" s="299" t="str">
        <x:v>https://www.census.gov/programs-surveys/acs/data/summary-file.2023.html</x:v>
      </x:c>
    </x:row>
    <x:row r="133">
      <x:c r="A133" s="299" t="n">
        <x:v>2024</x:v>
      </x:c>
      <x:c r="B133" s="299" t="str">
        <x:v>New Hampshire</x:v>
      </x:c>
      <x:c r="C133" s="299" t="str">
        <x:v>Northeast</x:v>
      </x:c>
      <x:c r="D133" s="299" t="n">
        <x:v>2023</x:v>
      </x:c>
      <x:c r="E133" s="302" t="n">
        <x:v>1402054</x:v>
      </x:c>
      <x:c r="F133" s="305" t="n">
        <x:v>96838</x:v>
      </x:c>
      <x:c r="G133" s="308" t="n">
        <x:v>0.20680943815288141</x:v>
      </x:c>
      <x:c r="H133" s="308" t="n">
        <x:v>0.9411195572201941</x:v>
      </x:c>
      <x:c r="I133" s="302" t="n">
        <x:v>2340</x:v>
      </x:c>
      <x:c r="J133" s="302" t="n">
        <x:v>52811455</x:v>
      </x:c>
      <x:c r="K133" s="311" t="n">
        <x:f>I133/E133*100000</x:f>
        <x:v>166.89799394317194</x:v>
      </x:c>
      <x:c r="L133" s="314" t="n">
        <x:f>J133/E133</x:f>
        <x:v>37.667204686838026</x:v>
      </x:c>
      <x:c r="M133" s="305" t="n">
        <x:f>J133/I133</x:f>
        <x:v>22568.997863247863</x:v>
      </x:c>
      <x:c r="N133" s="299" t="str">
        <x:v>https://www.ic3.gov/AnnualReport/Reports/2024_IC3Report.pdf</x:v>
      </x:c>
      <x:c r="O133" s="299" t="str">
        <x:v>https://www.census.gov/programs-surveys/acs/data/summary-file.2023.html</x:v>
      </x:c>
    </x:row>
    <x:row r="134">
      <x:c r="A134" s="299" t="n">
        <x:v>2024</x:v>
      </x:c>
      <x:c r="B134" s="299" t="str">
        <x:v>New Jersey</x:v>
      </x:c>
      <x:c r="C134" s="299" t="str">
        <x:v>Northeast</x:v>
      </x:c>
      <x:c r="D134" s="299" t="n">
        <x:v>2023</x:v>
      </x:c>
      <x:c r="E134" s="302" t="n">
        <x:v>9290841</x:v>
      </x:c>
      <x:c r="F134" s="305" t="n">
        <x:v>99781</x:v>
      </x:c>
      <x:c r="G134" s="308" t="n">
        <x:v>0.17724735575606126</x:v>
      </x:c>
      <x:c r="H134" s="308" t="n">
        <x:v>0.9414880553868537</x:v>
      </x:c>
      <x:c r="I134" s="302" t="n">
        <x:v>15701</x:v>
      </x:c>
      <x:c r="J134" s="302" t="n">
        <x:v>434856424</x:v>
      </x:c>
      <x:c r="K134" s="311" t="n">
        <x:f>I134/E134*100000</x:f>
        <x:v>168.99438920545512</x:v>
      </x:c>
      <x:c r="L134" s="314" t="n">
        <x:f>J134/E134</x:f>
        <x:v>46.8048504973877</x:v>
      </x:c>
      <x:c r="M134" s="305" t="n">
        <x:f>J134/I134</x:f>
        <x:v>27696.097318642125</x:v>
      </x:c>
      <x:c r="N134" s="299" t="str">
        <x:v>https://www.ic3.gov/AnnualReport/Reports/2024_IC3Report.pdf</x:v>
      </x:c>
      <x:c r="O134" s="299" t="str">
        <x:v>https://www.census.gov/programs-surveys/acs/data/summary-file.2023.html</x:v>
      </x:c>
    </x:row>
    <x:row r="135">
      <x:c r="A135" s="299" t="n">
        <x:v>2024</x:v>
      </x:c>
      <x:c r="B135" s="299" t="str">
        <x:v>New Mexico</x:v>
      </x:c>
      <x:c r="C135" s="299" t="str">
        <x:v>West</x:v>
      </x:c>
      <x:c r="D135" s="299" t="n">
        <x:v>2023</x:v>
      </x:c>
      <x:c r="E135" s="302" t="n">
        <x:v>2114371</x:v>
      </x:c>
      <x:c r="F135" s="305" t="n">
        <x:v>62268</x:v>
      </x:c>
      <x:c r="G135" s="308" t="n">
        <x:v>0.19947871021689192</x:v>
      </x:c>
      <x:c r="H135" s="308" t="n">
        <x:v>0.8879158981064232</x:v>
      </x:c>
      <x:c r="I135" s="302" t="n">
        <x:v>3884</x:v>
      </x:c>
      <x:c r="J135" s="302" t="n">
        <x:v>76621670</x:v>
      </x:c>
      <x:c r="K135" s="311" t="n">
        <x:f>I135/E135*100000</x:f>
        <x:v>183.69529283176888</x:v>
      </x:c>
      <x:c r="L135" s="314" t="n">
        <x:f>J135/E135</x:f>
        <x:v>36.23851727062091</x:v>
      </x:c>
      <x:c r="M135" s="305" t="n">
        <x:f>J135/I135</x:f>
        <x:v>19727.515447991762</x:v>
      </x:c>
      <x:c r="N135" s="299" t="str">
        <x:v>https://www.ic3.gov/AnnualReport/Reports/2024_IC3Report.pdf</x:v>
      </x:c>
      <x:c r="O135" s="299" t="str">
        <x:v>https://www.census.gov/programs-surveys/acs/data/summary-file.2023.html</x:v>
      </x:c>
    </x:row>
    <x:row r="136">
      <x:c r="A136" s="299" t="n">
        <x:v>2024</x:v>
      </x:c>
      <x:c r="B136" s="299" t="str">
        <x:v>New York</x:v>
      </x:c>
      <x:c r="C136" s="299" t="str">
        <x:v>Northeast</x:v>
      </x:c>
      <x:c r="D136" s="299" t="n">
        <x:v>2023</x:v>
      </x:c>
      <x:c r="E136" s="302" t="n">
        <x:v>19571216</x:v>
      </x:c>
      <x:c r="F136" s="305" t="n">
        <x:v>82095</x:v>
      </x:c>
      <x:c r="G136" s="308" t="n">
        <x:v>0.18575754311842452</x:v>
      </x:c>
      <x:c r="H136" s="308" t="n">
        <x:v>0.9213666276233096</x:v>
      </x:c>
      <x:c r="I136" s="302" t="n">
        <x:v>36468</x:v>
      </x:c>
      <x:c r="J136" s="302" t="n">
        <x:v>903975003</x:v>
      </x:c>
      <x:c r="K136" s="311" t="n">
        <x:f>I136/E136*100000</x:f>
        <x:v>186.33487055684225</x:v>
      </x:c>
      <x:c r="L136" s="314" t="n">
        <x:f>J136/E136</x:f>
        <x:v>46.189005476205466</x:v>
      </x:c>
      <x:c r="M136" s="305" t="n">
        <x:f>J136/I136</x:f>
        <x:v>24788.17053307009</x:v>
      </x:c>
      <x:c r="N136" s="299" t="str">
        <x:v>https://www.ic3.gov/AnnualReport/Reports/2024_IC3Report.pdf</x:v>
      </x:c>
      <x:c r="O136" s="299" t="str">
        <x:v>https://www.census.gov/programs-surveys/acs/data/summary-file.2023.html</x:v>
      </x:c>
    </x:row>
    <x:row r="137">
      <x:c r="A137" s="299" t="n">
        <x:v>2024</x:v>
      </x:c>
      <x:c r="B137" s="299" t="str">
        <x:v>North Carolina</x:v>
      </x:c>
      <x:c r="C137" s="299" t="str">
        <x:v>South</x:v>
      </x:c>
      <x:c r="D137" s="299" t="n">
        <x:v>2023</x:v>
      </x:c>
      <x:c r="E137" s="302" t="n">
        <x:v>10835491</x:v>
      </x:c>
      <x:c r="F137" s="305" t="n">
        <x:v>70804</x:v>
      </x:c>
      <x:c r="G137" s="308" t="n">
        <x:v>0.17676688578302543</x:v>
      </x:c>
      <x:c r="H137" s="308" t="n">
        <x:v>0.9168605692803168</x:v>
      </x:c>
      <x:c r="I137" s="302" t="n">
        <x:v>22021</x:v>
      </x:c>
      <x:c r="J137" s="302" t="n">
        <x:v>324287947</x:v>
      </x:c>
      <x:c r="K137" s="311" t="n">
        <x:f>I137/E137*100000</x:f>
        <x:v>203.2302920098406</x:v>
      </x:c>
      <x:c r="L137" s="314" t="n">
        <x:f>J137/E137</x:f>
        <x:v>29.928311232042923</x:v>
      </x:c>
      <x:c r="M137" s="305" t="n">
        <x:f>J137/I137</x:f>
        <x:v>14726.304300440488</x:v>
      </x:c>
      <x:c r="N137" s="299" t="str">
        <x:v>https://www.ic3.gov/AnnualReport/Reports/2024_IC3Report.pdf</x:v>
      </x:c>
      <x:c r="O137" s="299" t="str">
        <x:v>https://www.census.gov/programs-surveys/acs/data/summary-file.2023.html</x:v>
      </x:c>
    </x:row>
    <x:row r="138">
      <x:c r="A138" s="299" t="n">
        <x:v>2024</x:v>
      </x:c>
      <x:c r="B138" s="299" t="str">
        <x:v>North Dakota</x:v>
      </x:c>
      <x:c r="C138" s="299" t="str">
        <x:v>Midwest</x:v>
      </x:c>
      <x:c r="D138" s="299" t="n">
        <x:v>2023</x:v>
      </x:c>
      <x:c r="E138" s="302" t="n">
        <x:v>783926</x:v>
      </x:c>
      <x:c r="F138" s="305" t="n">
        <x:v>76525</x:v>
      </x:c>
      <x:c r="G138" s="308" t="n">
        <x:v>0.17087709809344248</x:v>
      </x:c>
      <x:c r="H138" s="308" t="n">
        <x:v>0.8913384941681778</x:v>
      </x:c>
      <x:c r="I138" s="302" t="n">
        <x:v>885</x:v>
      </x:c>
      <x:c r="J138" s="302" t="n">
        <x:v>21831953</x:v>
      </x:c>
      <x:c r="K138" s="311" t="n">
        <x:f>I138/E138*100000</x:f>
        <x:v>112.89330880720884</x:v>
      </x:c>
      <x:c r="L138" s="314" t="n">
        <x:f>J138/E138</x:f>
        <x:v>27.849507479022254</x:v>
      </x:c>
      <x:c r="M138" s="305" t="n">
        <x:f>J138/I138</x:f>
        <x:v>24668.873446327685</x:v>
      </x:c>
      <x:c r="N138" s="299" t="str">
        <x:v>https://www.ic3.gov/AnnualReport/Reports/2024_IC3Report.pdf</x:v>
      </x:c>
      <x:c r="O138" s="299" t="str">
        <x:v>https://www.census.gov/programs-surveys/acs/data/summary-file.2023.html</x:v>
      </x:c>
    </x:row>
    <x:row r="139">
      <x:c r="A139" s="299" t="n">
        <x:v>2024</x:v>
      </x:c>
      <x:c r="B139" s="299" t="str">
        <x:v>Ohio</x:v>
      </x:c>
      <x:c r="C139" s="299" t="str">
        <x:v>Midwest</x:v>
      </x:c>
      <x:c r="D139" s="299" t="n">
        <x:v>2023</x:v>
      </x:c>
      <x:c r="E139" s="302" t="n">
        <x:v>11785935</x:v>
      </x:c>
      <x:c r="F139" s="305" t="n">
        <x:v>67769</x:v>
      </x:c>
      <x:c r="G139" s="308" t="n">
        <x:v>0.18785077297643332</x:v>
      </x:c>
      <x:c r="H139" s="308" t="n">
        <x:v>0.9130687129891573</x:v>
      </x:c>
      <x:c r="I139" s="302" t="n">
        <x:v>24915</x:v>
      </x:c>
      <x:c r="J139" s="302" t="n">
        <x:v>278038028</x:v>
      </x:c>
      <x:c r="K139" s="311" t="n">
        <x:f>I139/E139*100000</x:f>
        <x:v>211.39604112868435</x:v>
      </x:c>
      <x:c r="L139" s="314" t="n">
        <x:f>J139/E139</x:f>
        <x:v>23.59066361726923</x:v>
      </x:c>
      <x:c r="M139" s="305" t="n">
        <x:f>J139/I139</x:f>
        <x:v>11159.463295203692</x:v>
      </x:c>
      <x:c r="N139" s="299" t="str">
        <x:v>https://www.ic3.gov/AnnualReport/Reports/2024_IC3Report.pdf</x:v>
      </x:c>
      <x:c r="O139" s="299" t="str">
        <x:v>https://www.census.gov/programs-surveys/acs/data/summary-file.2023.html</x:v>
      </x:c>
    </x:row>
    <x:row r="140">
      <x:c r="A140" s="299" t="n">
        <x:v>2024</x:v>
      </x:c>
      <x:c r="B140" s="299" t="str">
        <x:v>Oklahoma</x:v>
      </x:c>
      <x:c r="C140" s="299" t="str">
        <x:v>South</x:v>
      </x:c>
      <x:c r="D140" s="299" t="n">
        <x:v>2023</x:v>
      </x:c>
      <x:c r="E140" s="302" t="n">
        <x:v>4053824</x:v>
      </x:c>
      <x:c r="F140" s="305" t="n">
        <x:v>62138</x:v>
      </x:c>
      <x:c r="G140" s="308" t="n">
        <x:v>0.16699910997616077</x:v>
      </x:c>
      <x:c r="H140" s="308" t="n">
        <x:v>0.902745885262459</x:v>
      </x:c>
      <x:c r="I140" s="302" t="n">
        <x:v>7479</x:v>
      </x:c>
      <x:c r="J140" s="302" t="n">
        <x:v>113724886</x:v>
      </x:c>
      <x:c r="K140" s="311" t="n">
        <x:f>I140/E140*100000</x:f>
        <x:v>184.49246933265974</x:v>
      </x:c>
      <x:c r="L140" s="314" t="n">
        <x:f>J140/E140</x:f>
        <x:v>28.053730502360242</x:v>
      </x:c>
      <x:c r="M140" s="305" t="n">
        <x:f>J140/I140</x:f>
        <x:v>15205.894638320631</x:v>
      </x:c>
      <x:c r="N140" s="299" t="str">
        <x:v>https://www.ic3.gov/AnnualReport/Reports/2024_IC3Report.pdf</x:v>
      </x:c>
      <x:c r="O140" s="299" t="str">
        <x:v>https://www.census.gov/programs-surveys/acs/data/summary-file.2023.html</x:v>
      </x:c>
    </x:row>
    <x:row r="141">
      <x:c r="A141" s="299" t="n">
        <x:v>2024</x:v>
      </x:c>
      <x:c r="B141" s="299" t="str">
        <x:v>Oregon</x:v>
      </x:c>
      <x:c r="C141" s="299" t="str">
        <x:v>West</x:v>
      </x:c>
      <x:c r="D141" s="299" t="n">
        <x:v>2023</x:v>
      </x:c>
      <x:c r="E141" s="302" t="n">
        <x:v>4233358</x:v>
      </x:c>
      <x:c r="F141" s="305" t="n">
        <x:v>80160</x:v>
      </x:c>
      <x:c r="G141" s="308" t="n">
        <x:v>0.19555964792016173</x:v>
      </x:c>
      <x:c r="H141" s="308" t="n">
        <x:v>0.9341143232213692</x:v>
      </x:c>
      <x:c r="I141" s="302" t="n">
        <x:v>9011</x:v>
      </x:c>
      <x:c r="J141" s="302" t="n">
        <x:v>144160344</x:v>
      </x:c>
      <x:c r="K141" s="311" t="n">
        <x:f>I141/E141*100000</x:f>
        <x:v>212.85702744724165</x:v>
      </x:c>
      <x:c r="L141" s="314" t="n">
        <x:f>J141/E141</x:f>
        <x:v>34.053426145390965</x:v>
      </x:c>
      <x:c r="M141" s="305" t="n">
        <x:f>J141/I141</x:f>
        <x:v>15998.262567972479</x:v>
      </x:c>
      <x:c r="N141" s="299" t="str">
        <x:v>https://www.ic3.gov/AnnualReport/Reports/2024_IC3Report.pdf</x:v>
      </x:c>
      <x:c r="O141" s="299" t="str">
        <x:v>https://www.census.gov/programs-surveys/acs/data/summary-file.2023.html</x:v>
      </x:c>
    </x:row>
    <x:row r="142">
      <x:c r="A142" s="299" t="n">
        <x:v>2024</x:v>
      </x:c>
      <x:c r="B142" s="299" t="str">
        <x:v>Pennsylvania</x:v>
      </x:c>
      <x:c r="C142" s="299" t="str">
        <x:v>Northeast</x:v>
      </x:c>
      <x:c r="D142" s="299" t="n">
        <x:v>2023</x:v>
      </x:c>
      <x:c r="E142" s="302" t="n">
        <x:v>12961683</x:v>
      </x:c>
      <x:c r="F142" s="305" t="n">
        <x:v>73824</x:v>
      </x:c>
      <x:c r="G142" s="308" t="n">
        <x:v>0.2004333850781569</x:v>
      </x:c>
      <x:c r="H142" s="308" t="n">
        <x:v>0.9120842175804894</x:v>
      </x:c>
      <x:c r="I142" s="302" t="n">
        <x:v>27838</x:v>
      </x:c>
      <x:c r="J142" s="302" t="n">
        <x:v>400082312</x:v>
      </x:c>
      <x:c r="K142" s="311" t="n">
        <x:f>I142/E142*100000</x:f>
        <x:v>214.7714922514306</x:v>
      </x:c>
      <x:c r="L142" s="314" t="n">
        <x:f>J142/E142</x:f>
        <x:v>30.866540402199313</x:v>
      </x:c>
      <x:c r="M142" s="305" t="n">
        <x:f>J142/I142</x:f>
        <x:v>14371.805158416553</x:v>
      </x:c>
      <x:c r="N142" s="299" t="str">
        <x:v>https://www.ic3.gov/AnnualReport/Reports/2024_IC3Report.pdf</x:v>
      </x:c>
      <x:c r="O142" s="299" t="str">
        <x:v>https://www.census.gov/programs-surveys/acs/data/summary-file.2023.html</x:v>
      </x:c>
    </x:row>
    <x:row r="143">
      <x:c r="A143" s="299" t="n">
        <x:v>2024</x:v>
      </x:c>
      <x:c r="B143" s="299" t="str">
        <x:v>Rhode Island</x:v>
      </x:c>
      <x:c r="C143" s="299" t="str">
        <x:v>Northeast</x:v>
      </x:c>
      <x:c r="D143" s="299" t="n">
        <x:v>2023</x:v>
      </x:c>
      <x:c r="E143" s="302" t="n">
        <x:v>1095962</x:v>
      </x:c>
      <x:c r="F143" s="305" t="n">
        <x:v>84972</x:v>
      </x:c>
      <x:c r="G143" s="308" t="n">
        <x:v>0.19378044129267255</x:v>
      </x:c>
      <x:c r="H143" s="308" t="n">
        <x:v>0.9291905040767603</x:v>
      </x:c>
      <x:c r="I143" s="302" t="n">
        <x:v>1642</x:v>
      </x:c>
      <x:c r="J143" s="302" t="n">
        <x:v>23597036</x:v>
      </x:c>
      <x:c r="K143" s="311" t="n">
        <x:f>I143/E143*100000</x:f>
        <x:v>149.8227128312843</x:v>
      </x:c>
      <x:c r="L143" s="314" t="n">
        <x:f>J143/E143</x:f>
        <x:v>21.53088884468622</x:v>
      </x:c>
      <x:c r="M143" s="305" t="n">
        <x:f>J143/I143</x:f>
        <x:v>14370.91108404385</x:v>
      </x:c>
      <x:c r="N143" s="299" t="str">
        <x:v>https://www.ic3.gov/AnnualReport/Reports/2024_IC3Report.pdf</x:v>
      </x:c>
      <x:c r="O143" s="299" t="str">
        <x:v>https://www.census.gov/programs-surveys/acs/data/summary-file.2023.html</x:v>
      </x:c>
    </x:row>
    <x:row r="144">
      <x:c r="A144" s="299" t="n">
        <x:v>2024</x:v>
      </x:c>
      <x:c r="B144" s="299" t="str">
        <x:v>South Carolina</x:v>
      </x:c>
      <x:c r="C144" s="299" t="str">
        <x:v>South</x:v>
      </x:c>
      <x:c r="D144" s="299" t="n">
        <x:v>2023</x:v>
      </x:c>
      <x:c r="E144" s="302" t="n">
        <x:v>5373555</x:v>
      </x:c>
      <x:c r="F144" s="305" t="n">
        <x:v>67804</x:v>
      </x:c>
      <x:c r="G144" s="308" t="n">
        <x:v>0.19318570294711787</x:v>
      </x:c>
      <x:c r="H144" s="308" t="n">
        <x:v>0.9098287071922958</x:v>
      </x:c>
      <x:c r="I144" s="302" t="n">
        <x:v>9661</x:v>
      </x:c>
      <x:c r="J144" s="302" t="n">
        <x:v>146468765</x:v>
      </x:c>
      <x:c r="K144" s="311" t="n">
        <x:f>I144/E144*100000</x:f>
        <x:v>179.78786855256902</x:v>
      </x:c>
      <x:c r="L144" s="314" t="n">
        <x:f>J144/E144</x:f>
        <x:v>27.257330575382593</x:v>
      </x:c>
      <x:c r="M144" s="305" t="n">
        <x:f>J144/I144</x:f>
        <x:v>15160.828589172963</x:v>
      </x:c>
      <x:c r="N144" s="299" t="str">
        <x:v>https://www.ic3.gov/AnnualReport/Reports/2024_IC3Report.pdf</x:v>
      </x:c>
      <x:c r="O144" s="299" t="str">
        <x:v>https://www.census.gov/programs-surveys/acs/data/summary-file.2023.html</x:v>
      </x:c>
    </x:row>
    <x:row r="145">
      <x:c r="A145" s="299" t="n">
        <x:v>2024</x:v>
      </x:c>
      <x:c r="B145" s="299" t="str">
        <x:v>South Dakota</x:v>
      </x:c>
      <x:c r="C145" s="299" t="str">
        <x:v>Midwest</x:v>
      </x:c>
      <x:c r="D145" s="299" t="n">
        <x:v>2023</x:v>
      </x:c>
      <x:c r="E145" s="302" t="n">
        <x:v>919318</x:v>
      </x:c>
      <x:c r="F145" s="305" t="n">
        <x:v>71810</x:v>
      </x:c>
      <x:c r="G145" s="308" t="n">
        <x:v>0.18446935663176398</x:v>
      </x:c>
      <x:c r="H145" s="308" t="n">
        <x:v>0.9187392189856799</x:v>
      </x:c>
      <x:c r="I145" s="302" t="n">
        <x:v>1298</x:v>
      </x:c>
      <x:c r="J145" s="302" t="n">
        <x:v>24957446</x:v>
      </x:c>
      <x:c r="K145" s="311" t="n">
        <x:f>I145/E145*100000</x:f>
        <x:v>141.19162248536415</x:v>
      </x:c>
      <x:c r="L145" s="314" t="n">
        <x:f>J145/E145</x:f>
        <x:v>27.14778346556904</x:v>
      </x:c>
      <x:c r="M145" s="305" t="n">
        <x:f>J145/I145</x:f>
        <x:v>19227.61633281972</x:v>
      </x:c>
      <x:c r="N145" s="299" t="str">
        <x:v>https://www.ic3.gov/AnnualReport/Reports/2024_IC3Report.pdf</x:v>
      </x:c>
      <x:c r="O145" s="299" t="str">
        <x:v>https://www.census.gov/programs-surveys/acs/data/summary-file.2023.html</x:v>
      </x:c>
    </x:row>
    <x:row r="146">
      <x:c r="A146" s="299" t="n">
        <x:v>2024</x:v>
      </x:c>
      <x:c r="B146" s="299" t="str">
        <x:v>Tennessee</x:v>
      </x:c>
      <x:c r="C146" s="299" t="str">
        <x:v>South</x:v>
      </x:c>
      <x:c r="D146" s="299" t="n">
        <x:v>2023</x:v>
      </x:c>
      <x:c r="E146" s="302" t="n">
        <x:v>7126489</x:v>
      </x:c>
      <x:c r="F146" s="305" t="n">
        <x:v>67631</x:v>
      </x:c>
      <x:c r="G146" s="308" t="n">
        <x:v>0.17492428599833662</x:v>
      </x:c>
      <x:c r="H146" s="308" t="n">
        <x:v>0.9111789801143975</x:v>
      </x:c>
      <x:c r="I146" s="302" t="n">
        <x:v>11411</x:v>
      </x:c>
      <x:c r="J146" s="302" t="n">
        <x:v>190271310</x:v>
      </x:c>
      <x:c r="K146" s="311" t="n">
        <x:f>I146/E146*100000</x:f>
        <x:v>160.12092350103956</x:v>
      </x:c>
      <x:c r="L146" s="314" t="n">
        <x:f>J146/E146</x:f>
        <x:v>26.699165605952665</x:v>
      </x:c>
      <x:c r="M146" s="305" t="n">
        <x:f>J146/I146</x:f>
        <x:v>16674.37647883621</x:v>
      </x:c>
      <x:c r="N146" s="299" t="str">
        <x:v>https://www.ic3.gov/AnnualReport/Reports/2024_IC3Report.pdf</x:v>
      </x:c>
      <x:c r="O146" s="299" t="str">
        <x:v>https://www.census.gov/programs-surveys/acs/data/summary-file.2023.html</x:v>
      </x:c>
    </x:row>
    <x:row r="147">
      <x:c r="A147" s="299" t="n">
        <x:v>2024</x:v>
      </x:c>
      <x:c r="B147" s="299" t="str">
        <x:v>Texas</x:v>
      </x:c>
      <x:c r="C147" s="299" t="str">
        <x:v>South</x:v>
      </x:c>
      <x:c r="D147" s="299" t="n">
        <x:v>2023</x:v>
      </x:c>
      <x:c r="E147" s="302" t="n">
        <x:v>30503301</x:v>
      </x:c>
      <x:c r="F147" s="305" t="n">
        <x:v>75780</x:v>
      </x:c>
      <x:c r="G147" s="308" t="n">
        <x:v>0.1375257713911029</x:v>
      </x:c>
      <x:c r="H147" s="308" t="n">
        <x:v>0.9257031013765197</x:v>
      </x:c>
      <x:c r="I147" s="302" t="n">
        <x:v>62347</x:v>
      </x:c>
      <x:c r="J147" s="302" t="n">
        <x:v>1351598183</x:v>
      </x:c>
      <x:c r="K147" s="311" t="n">
        <x:f>I147/E147*100000</x:f>
        <x:v>204.39427195109144</x:v>
      </x:c>
      <x:c r="L147" s="314" t="n">
        <x:f>J147/E147</x:f>
        <x:v>44.309898886025486</x:v>
      </x:c>
      <x:c r="M147" s="305" t="n">
        <x:f>J147/I147</x:f>
        <x:v>21678.64023930582</x:v>
      </x:c>
      <x:c r="N147" s="299" t="str">
        <x:v>https://www.ic3.gov/AnnualReport/Reports/2024_IC3Report.pdf</x:v>
      </x:c>
      <x:c r="O147" s="299" t="str">
        <x:v>https://www.census.gov/programs-surveys/acs/data/summary-file.2023.html</x:v>
      </x:c>
    </x:row>
    <x:row r="148">
      <x:c r="A148" s="299" t="n">
        <x:v>2024</x:v>
      </x:c>
      <x:c r="B148" s="299" t="str">
        <x:v>Utah</x:v>
      </x:c>
      <x:c r="C148" s="299" t="str">
        <x:v>West</x:v>
      </x:c>
      <x:c r="D148" s="299" t="n">
        <x:v>2023</x:v>
      </x:c>
      <x:c r="E148" s="302" t="n">
        <x:v>3417734</x:v>
      </x:c>
      <x:c r="F148" s="305" t="n">
        <x:v>93421</x:v>
      </x:c>
      <x:c r="G148" s="308" t="n">
        <x:v>0.12164463354959748</x:v>
      </x:c>
      <x:c r="H148" s="308" t="n">
        <x:v>0.9422554644563036</x:v>
      </x:c>
      <x:c r="I148" s="302" t="n">
        <x:v>6877</x:v>
      </x:c>
      <x:c r="J148" s="302" t="n">
        <x:v>129414310</x:v>
      </x:c>
      <x:c r="K148" s="311" t="n">
        <x:f>I148/E148*100000</x:f>
        <x:v>201.21519111785764</x:v>
      </x:c>
      <x:c r="L148" s="314" t="n">
        <x:f>J148/E148</x:f>
        <x:v>37.86553020217489</x:v>
      </x:c>
      <x:c r="M148" s="305" t="n">
        <x:f>J148/I148</x:f>
        <x:v>18818.42518540061</x:v>
      </x:c>
      <x:c r="N148" s="299" t="str">
        <x:v>https://www.ic3.gov/AnnualReport/Reports/2024_IC3Report.pdf</x:v>
      </x:c>
      <x:c r="O148" s="299" t="str">
        <x:v>https://www.census.gov/programs-surveys/acs/data/summary-file.2023.html</x:v>
      </x:c>
    </x:row>
    <x:row r="149">
      <x:c r="A149" s="299" t="n">
        <x:v>2024</x:v>
      </x:c>
      <x:c r="B149" s="299" t="str">
        <x:v>Vermont</x:v>
      </x:c>
      <x:c r="C149" s="299" t="str">
        <x:v>Northeast</x:v>
      </x:c>
      <x:c r="D149" s="299" t="n">
        <x:v>2023</x:v>
      </x:c>
      <x:c r="E149" s="302" t="n">
        <x:v>647464</x:v>
      </x:c>
      <x:c r="F149" s="305" t="n">
        <x:v>81211</x:v>
      </x:c>
      <x:c r="G149" s="308" t="n">
        <x:v>0.22151192962079744</x:v>
      </x:c>
      <x:c r="H149" s="308" t="n">
        <x:v>0.9233902693732745</x:v>
      </x:c>
      <x:c r="I149" s="302" t="n">
        <x:v>937</x:v>
      </x:c>
      <x:c r="J149" s="302" t="n">
        <x:v>11285112</x:v>
      </x:c>
      <x:c r="K149" s="311" t="n">
        <x:f>I149/E149*100000</x:f>
        <x:v>144.71847083389963</x:v>
      </x:c>
      <x:c r="L149" s="314" t="n">
        <x:f>J149/E149</x:f>
        <x:v>17.429713466694672</x:v>
      </x:c>
      <x:c r="M149" s="305" t="n">
        <x:f>J149/I149</x:f>
        <x:v>12043.876200640341</x:v>
      </x:c>
      <x:c r="N149" s="299" t="str">
        <x:v>https://www.ic3.gov/AnnualReport/Reports/2024_IC3Report.pdf</x:v>
      </x:c>
      <x:c r="O149" s="299" t="str">
        <x:v>https://www.census.gov/programs-surveys/acs/data/summary-file.2023.html</x:v>
      </x:c>
    </x:row>
    <x:row r="150">
      <x:c r="A150" s="299" t="n">
        <x:v>2024</x:v>
      </x:c>
      <x:c r="B150" s="299" t="str">
        <x:v>Virginia</x:v>
      </x:c>
      <x:c r="C150" s="299" t="str">
        <x:v>South</x:v>
      </x:c>
      <x:c r="D150" s="299" t="n">
        <x:v>2023</x:v>
      </x:c>
      <x:c r="E150" s="302" t="n">
        <x:v>8715698</x:v>
      </x:c>
      <x:c r="F150" s="305" t="n">
        <x:v>89931</x:v>
      </x:c>
      <x:c r="G150" s="308" t="n">
        <x:v>0.17198060327468895</x:v>
      </x:c>
      <x:c r="H150" s="308" t="n">
        <x:v>0.9222945510437391</x:v>
      </x:c>
      <x:c r="I150" s="302" t="n">
        <x:v>17466</x:v>
      </x:c>
      <x:c r="J150" s="302" t="n">
        <x:v>317406595</x:v>
      </x:c>
      <x:c r="K150" s="311" t="n">
        <x:f>I150/E150*100000</x:f>
        <x:v>200.39703073695304</x:v>
      </x:c>
      <x:c r="L150" s="314" t="n">
        <x:f>J150/E150</x:f>
        <x:v>36.41780555039883</x:v>
      </x:c>
      <x:c r="M150" s="305" t="n">
        <x:f>J150/I150</x:f>
        <x:v>18172.826920874842</x:v>
      </x:c>
      <x:c r="N150" s="299" t="str">
        <x:v>https://www.ic3.gov/AnnualReport/Reports/2024_IC3Report.pdf</x:v>
      </x:c>
      <x:c r="O150" s="299" t="str">
        <x:v>https://www.census.gov/programs-surveys/acs/data/summary-file.2023.html</x:v>
      </x:c>
    </x:row>
    <x:row r="151">
      <x:c r="A151" s="299" t="n">
        <x:v>2024</x:v>
      </x:c>
      <x:c r="B151" s="299" t="str">
        <x:v>Washington</x:v>
      </x:c>
      <x:c r="C151" s="299" t="str">
        <x:v>West</x:v>
      </x:c>
      <x:c r="D151" s="299" t="n">
        <x:v>2023</x:v>
      </x:c>
      <x:c r="E151" s="302" t="n">
        <x:v>7812880</x:v>
      </x:c>
      <x:c r="F151" s="305" t="n">
        <x:v>94605</x:v>
      </x:c>
      <x:c r="G151" s="308" t="n">
        <x:v>0.17140030308925774</x:v>
      </x:c>
      <x:c r="H151" s="308" t="n">
        <x:v>0.9426472745798891</x:v>
      </x:c>
      <x:c r="I151" s="302" t="n">
        <x:v>18009</x:v>
      </x:c>
      <x:c r="J151" s="302" t="n">
        <x:v>368203209</x:v>
      </x:c>
      <x:c r="K151" s="311" t="n">
        <x:f>I151/E151*100000</x:f>
        <x:v>230.50398828600976</x:v>
      </x:c>
      <x:c r="L151" s="314" t="n">
        <x:f>J151/E151</x:f>
        <x:v>47.127718459774115</x:v>
      </x:c>
      <x:c r="M151" s="305" t="n">
        <x:f>J151/I151</x:f>
        <x:v>20445.511077794436</x:v>
      </x:c>
      <x:c r="N151" s="299" t="str">
        <x:v>https://www.ic3.gov/AnnualReport/Reports/2024_IC3Report.pdf</x:v>
      </x:c>
      <x:c r="O151" s="299" t="str">
        <x:v>https://www.census.gov/programs-surveys/acs/data/summary-file.2023.html</x:v>
      </x:c>
    </x:row>
    <x:row r="152">
      <x:c r="A152" s="299" t="n">
        <x:v>2024</x:v>
      </x:c>
      <x:c r="B152" s="299" t="str">
        <x:v>West Virginia</x:v>
      </x:c>
      <x:c r="C152" s="299" t="str">
        <x:v>South</x:v>
      </x:c>
      <x:c r="D152" s="299" t="n">
        <x:v>2023</x:v>
      </x:c>
      <x:c r="E152" s="302" t="n">
        <x:v>1770071</x:v>
      </x:c>
      <x:c r="F152" s="305" t="n">
        <x:v>55948</x:v>
      </x:c>
      <x:c r="G152" s="308" t="n">
        <x:v>0.21478912427806565</x:v>
      </x:c>
      <x:c r="H152" s="308" t="n">
        <x:v>0.870741914141713</x:v>
      </x:c>
      <x:c r="I152" s="302" t="n">
        <x:v>2594</x:v>
      </x:c>
      <x:c r="J152" s="302" t="n">
        <x:v>24196661</x:v>
      </x:c>
      <x:c r="K152" s="311" t="n">
        <x:f>I152/E152*100000</x:f>
        <x:v>146.5477938455576</x:v>
      </x:c>
      <x:c r="L152" s="314" t="n">
        <x:f>J152/E152</x:f>
        <x:v>13.66988160361929</x:v>
      </x:c>
      <x:c r="M152" s="305" t="n">
        <x:f>J152/I152</x:f>
        <x:v>9327.934078643022</x:v>
      </x:c>
      <x:c r="N152" s="299" t="str">
        <x:v>https://www.ic3.gov/AnnualReport/Reports/2024_IC3Report.pdf</x:v>
      </x:c>
      <x:c r="O152" s="299" t="str">
        <x:v>https://www.census.gov/programs-surveys/acs/data/summary-file.2023.html</x:v>
      </x:c>
    </x:row>
    <x:row r="153">
      <x:c r="A153" s="299" t="n">
        <x:v>2024</x:v>
      </x:c>
      <x:c r="B153" s="299" t="str">
        <x:v>Wisconsin</x:v>
      </x:c>
      <x:c r="C153" s="299" t="str">
        <x:v>Midwest</x:v>
      </x:c>
      <x:c r="D153" s="299" t="n">
        <x:v>2023</x:v>
      </x:c>
      <x:c r="E153" s="302" t="n">
        <x:v>5910955</x:v>
      </x:c>
      <x:c r="F153" s="305" t="n">
        <x:v>74631</x:v>
      </x:c>
      <x:c r="G153" s="308" t="n">
        <x:v>0.19174481957653206</x:v>
      </x:c>
      <x:c r="H153" s="308" t="n">
        <x:v>0.9182348983526204</x:v>
      </x:c>
      <x:c r="I153" s="302" t="n">
        <x:v>9619</x:v>
      </x:c>
      <x:c r="J153" s="302" t="n">
        <x:v>169942495</x:v>
      </x:c>
      <x:c r="K153" s="311" t="n">
        <x:f>I153/E153*100000</x:f>
        <x:v>162.73174131760433</x:v>
      </x:c>
      <x:c r="L153" s="314" t="n">
        <x:f>J153/E153</x:f>
        <x:v>28.75042949912493</x:v>
      </x:c>
      <x:c r="M153" s="305" t="n">
        <x:f>J153/I153</x:f>
        <x:v>17667.376546418545</x:v>
      </x:c>
      <x:c r="N153" s="299" t="str">
        <x:v>https://www.ic3.gov/AnnualReport/Reports/2024_IC3Report.pdf</x:v>
      </x:c>
      <x:c r="O153" s="299" t="str">
        <x:v>https://www.census.gov/programs-surveys/acs/data/summary-file.2023.html</x:v>
      </x:c>
    </x:row>
    <x:row r="154">
      <x:c r="A154" s="299" t="n">
        <x:v>2024</x:v>
      </x:c>
      <x:c r="B154" s="299" t="str">
        <x:v>Wyoming</x:v>
      </x:c>
      <x:c r="C154" s="299" t="str">
        <x:v>West</x:v>
      </x:c>
      <x:c r="D154" s="299" t="n">
        <x:v>2023</x:v>
      </x:c>
      <x:c r="E154" s="302" t="n">
        <x:v>584057</x:v>
      </x:c>
      <x:c r="F154" s="305" t="n">
        <x:v>72415</x:v>
      </x:c>
      <x:c r="G154" s="308" t="n">
        <x:v>0.1919281850915236</x:v>
      </x:c>
      <x:c r="H154" s="308" t="n">
        <x:v>0.9080843116328708</x:v>
      </x:c>
      <x:c r="I154" s="302" t="n">
        <x:v>1377</x:v>
      </x:c>
      <x:c r="J154" s="302" t="n">
        <x:v>43502744</x:v>
      </x:c>
      <x:c r="K154" s="311" t="n">
        <x:f>I154/E154*100000</x:f>
        <x:v>235.76465995613444</x:v>
      </x:c>
      <x:c r="L154" s="314" t="n">
        <x:f>J154/E154</x:f>
        <x:v>74.48373018386904</x:v>
      </x:c>
      <x:c r="M154" s="305" t="n">
        <x:f>J154/I154</x:f>
        <x:v>31592.406681190994</x:v>
      </x:c>
      <x:c r="N154" s="299" t="str">
        <x:v>https://www.ic3.gov/AnnualReport/Reports/2024_IC3Report.pdf</x:v>
      </x:c>
      <x:c r="O154" s="299" t="str">
        <x:v>https://www.census.gov/programs-surveys/acs/data/summary-file.2023.html</x:v>
      </x:c>
    </x:row>
    <x:row r="155">
      <x:c r="A155" s="299" t="n">
        <x:v>2025</x:v>
      </x:c>
      <x:c r="B155" s="299" t="str">
        <x:v>District of Columbia</x:v>
      </x:c>
      <x:c r="C155" s="299" t="str">
        <x:v>South</x:v>
      </x:c>
      <x:c r="D155" s="299" t="n">
        <x:v>2024</x:v>
      </x:c>
      <x:c r="E155" s="302" t="n">
        <x:v>702250</x:v>
      </x:c>
      <x:c r="F155" s="305" t="n">
        <x:v>109707</x:v>
      </x:c>
      <x:c r="G155" s="308" t="n">
        <x:v>0.1291192595229619</x:v>
      </x:c>
      <x:c r="H155" s="308" t="n">
        <x:v>0.9252685122555636</x:v>
      </x:c>
      <x:c r="I155" s="302" t="n">
        <x:v>3113</x:v>
      </x:c>
      <x:c r="J155" s="302" t="n">
        <x:v>97368097</x:v>
      </x:c>
      <x:c r="K155" s="311" t="n">
        <x:f>I155/E155*100000</x:f>
        <x:v>443.2894268422926</x:v>
      </x:c>
      <x:c r="L155" s="314" t="n">
        <x:f>J155/E155</x:f>
        <x:v>138.6516155215379</x:v>
      </x:c>
      <x:c r="M155" s="305" t="n">
        <x:f>J155/I155</x:f>
        <x:v>31277.89816896884</x:v>
      </x:c>
      <x:c r="N155" s="299" t="str">
        <x:v>https://www.ic3.gov/AnnualReport/Reports/2025_IC3Report.pdf</x:v>
      </x:c>
      <x:c r="O155" s="299" t="str">
        <x:v>https://www.census.gov/programs-surveys/acs/data/summary-file.2024.html</x:v>
      </x:c>
    </x:row>
    <x:row r="156">
      <x:c r="A156" s="299" t="n">
        <x:v>2025</x:v>
      </x:c>
      <x:c r="B156" s="299" t="str">
        <x:v>California</x:v>
      </x:c>
      <x:c r="C156" s="299" t="str">
        <x:v>West</x:v>
      </x:c>
      <x:c r="D156" s="299" t="n">
        <x:v>2024</x:v>
      </x:c>
      <x:c r="E156" s="302" t="n">
        <x:v>39431263</x:v>
      </x:c>
      <x:c r="F156" s="305" t="n">
        <x:v>100149</x:v>
      </x:c>
      <x:c r="G156" s="308" t="n">
        <x:v>0.16547430905269253</x:v>
      </x:c>
      <x:c r="H156" s="308" t="n">
        <x:v>0.9507583109514832</x:v>
      </x:c>
      <x:c r="I156" s="302" t="n">
        <x:v>116414</x:v>
      </x:c>
      <x:c r="J156" s="302" t="n">
        <x:v>3674716305</x:v>
      </x:c>
      <x:c r="K156" s="311" t="n">
        <x:f>I156/E156*100000</x:f>
        <x:v>295.23274463716774</x:v>
      </x:c>
      <x:c r="L156" s="314" t="n">
        <x:f>J156/E156</x:f>
        <x:v>93.1929648056163</x:v>
      </x:c>
      <x:c r="M156" s="305" t="n">
        <x:f>J156/I156</x:f>
        <x:v>31565.931116532374</x:v>
      </x:c>
      <x:c r="N156" s="299" t="str">
        <x:v>https://www.ic3.gov/AnnualReport/Reports/2025_IC3Report.pdf</x:v>
      </x:c>
      <x:c r="O156" s="299" t="str">
        <x:v>https://www.census.gov/programs-surveys/acs/data/summary-file.2024.html</x:v>
      </x:c>
    </x:row>
    <x:row r="157">
      <x:c r="A157" s="299" t="n">
        <x:v>2025</x:v>
      </x:c>
      <x:c r="B157" s="299" t="str">
        <x:v>Nevada</x:v>
      </x:c>
      <x:c r="C157" s="299" t="str">
        <x:v>West</x:v>
      </x:c>
      <x:c r="D157" s="299" t="n">
        <x:v>2024</x:v>
      </x:c>
      <x:c r="E157" s="302" t="n">
        <x:v>3267467</x:v>
      </x:c>
      <x:c r="F157" s="305" t="n">
        <x:v>81134</x:v>
      </x:c>
      <x:c r="G157" s="308" t="n">
        <x:v>0.17608471638734222</x:v>
      </x:c>
      <x:c r="H157" s="308" t="n">
        <x:v>0.9517638275117541</x:v>
      </x:c>
      <x:c r="I157" s="302" t="n">
        <x:v>13366</x:v>
      </x:c>
      <x:c r="J157" s="302" t="n">
        <x:v>302235247</x:v>
      </x:c>
      <x:c r="K157" s="311" t="n">
        <x:f>I157/E157*100000</x:f>
        <x:v>409.0630448601317</x:v>
      </x:c>
      <x:c r="L157" s="314" t="n">
        <x:f>J157/E157</x:f>
        <x:v>92.49833188827921</x:v>
      </x:c>
      <x:c r="M157" s="305" t="n">
        <x:f>J157/I157</x:f>
        <x:v>22612.243528355528</x:v>
      </x:c>
      <x:c r="N157" s="299" t="str">
        <x:v>https://www.ic3.gov/AnnualReport/Reports/2025_IC3Report.pdf</x:v>
      </x:c>
      <x:c r="O157" s="299" t="str">
        <x:v>https://www.census.gov/programs-surveys/acs/data/summary-file.2024.html</x:v>
      </x:c>
    </x:row>
    <x:row r="158">
      <x:c r="A158" s="299" t="n">
        <x:v>2025</x:v>
      </x:c>
      <x:c r="B158" s="299" t="str">
        <x:v>Arizona</x:v>
      </x:c>
      <x:c r="C158" s="299" t="str">
        <x:v>West</x:v>
      </x:c>
      <x:c r="D158" s="299" t="n">
        <x:v>2024</x:v>
      </x:c>
      <x:c r="E158" s="302" t="n">
        <x:v>7582384</x:v>
      </x:c>
      <x:c r="F158" s="305" t="n">
        <x:v>81486</x:v>
      </x:c>
      <x:c r="G158" s="308" t="n">
        <x:v>0.19666083912394836</x:v>
      </x:c>
      <x:c r="H158" s="308" t="n">
        <x:v>0.9366690416516483</x:v>
      </x:c>
      <x:c r="I158" s="302" t="n">
        <x:v>28868</x:v>
      </x:c>
      <x:c r="J158" s="302" t="n">
        <x:v>630700609</x:v>
      </x:c>
      <x:c r="K158" s="311" t="n">
        <x:f>I158/E158*100000</x:f>
        <x:v>380.7245847743929</x:v>
      </x:c>
      <x:c r="L158" s="314" t="n">
        <x:f>J158/E158</x:f>
        <x:v>83.1797240815026</x:v>
      </x:c>
      <x:c r="M158" s="305" t="n">
        <x:f>J158/I158</x:f>
        <x:v>21847.74175557711</x:v>
      </x:c>
      <x:c r="N158" s="299" t="str">
        <x:v>https://www.ic3.gov/AnnualReport/Reports/2025_IC3Report.pdf</x:v>
      </x:c>
      <x:c r="O158" s="299" t="str">
        <x:v>https://www.census.gov/programs-surveys/acs/data/summary-file.2024.html</x:v>
      </x:c>
    </x:row>
    <x:row r="159">
      <x:c r="A159" s="299" t="n">
        <x:v>2025</x:v>
      </x:c>
      <x:c r="B159" s="299" t="str">
        <x:v>Hawaii</x:v>
      </x:c>
      <x:c r="C159" s="299" t="str">
        <x:v>West</x:v>
      </x:c>
      <x:c r="D159" s="299" t="n">
        <x:v>2024</x:v>
      </x:c>
      <x:c r="E159" s="302" t="n">
        <x:v>1446146</x:v>
      </x:c>
      <x:c r="F159" s="305" t="n">
        <x:v>100745</x:v>
      </x:c>
      <x:c r="G159" s="308" t="n">
        <x:v>0.21526526367323912</x:v>
      </x:c>
      <x:c r="H159" s="308" t="n">
        <x:v>0.9310596551563315</x:v>
      </x:c>
      <x:c r="I159" s="302" t="n">
        <x:v>3328</x:v>
      </x:c>
      <x:c r="J159" s="302" t="n">
        <x:v>106447375</x:v>
      </x:c>
      <x:c r="K159" s="311" t="n">
        <x:f>I159/E159*100000</x:f>
        <x:v>230.12890814620377</x:v>
      </x:c>
      <x:c r="L159" s="314" t="n">
        <x:f>J159/E159</x:f>
        <x:v>73.60762675414516</x:v>
      </x:c>
      <x:c r="M159" s="305" t="n">
        <x:f>J159/I159</x:f>
        <x:v>31985.389122596152</x:v>
      </x:c>
      <x:c r="N159" s="299" t="str">
        <x:v>https://www.ic3.gov/AnnualReport/Reports/2025_IC3Report.pdf</x:v>
      </x:c>
      <x:c r="O159" s="299" t="str">
        <x:v>https://www.census.gov/programs-surveys/acs/data/summary-file.2024.html</x:v>
      </x:c>
    </x:row>
    <x:row r="160">
      <x:c r="A160" s="299" t="n">
        <x:v>2025</x:v>
      </x:c>
      <x:c r="B160" s="299" t="str">
        <x:v>New Jersey</x:v>
      </x:c>
      <x:c r="C160" s="299" t="str">
        <x:v>Northeast</x:v>
      </x:c>
      <x:c r="D160" s="299" t="n">
        <x:v>2024</x:v>
      </x:c>
      <x:c r="E160" s="302" t="n">
        <x:v>9500851</x:v>
      </x:c>
      <x:c r="F160" s="305" t="n">
        <x:v>104294</x:v>
      </x:c>
      <x:c r="G160" s="308" t="n">
        <x:v>0.17963285604626364</x:v>
      </x:c>
      <x:c r="H160" s="308" t="n">
        <x:v>0.9489475567334021</x:v>
      </x:c>
      <x:c r="I160" s="302" t="n">
        <x:v>20648</x:v>
      </x:c>
      <x:c r="J160" s="302" t="n">
        <x:v>660411901</x:v>
      </x:c>
      <x:c r="K160" s="311" t="n">
        <x:f>I160/E160*100000</x:f>
        <x:v>217.32790041649955</x:v>
      </x:c>
      <x:c r="L160" s="314" t="n">
        <x:f>J160/E160</x:f>
        <x:v>69.51081550484267</x:v>
      </x:c>
      <x:c r="M160" s="305" t="n">
        <x:f>J160/I160</x:f>
        <x:v>31984.30361294072</x:v>
      </x:c>
      <x:c r="N160" s="299" t="str">
        <x:v>https://www.ic3.gov/AnnualReport/Reports/2025_IC3Report.pdf</x:v>
      </x:c>
      <x:c r="O160" s="299" t="str">
        <x:v>https://www.census.gov/programs-surveys/acs/data/summary-file.2024.html</x:v>
      </x:c>
    </x:row>
    <x:row r="161">
      <x:c r="A161" s="299" t="n">
        <x:v>2025</x:v>
      </x:c>
      <x:c r="B161" s="299" t="str">
        <x:v>Florida</x:v>
      </x:c>
      <x:c r="C161" s="299" t="str">
        <x:v>South</x:v>
      </x:c>
      <x:c r="D161" s="299" t="n">
        <x:v>2024</x:v>
      </x:c>
      <x:c r="E161" s="302" t="n">
        <x:v>23372215</x:v>
      </x:c>
      <x:c r="F161" s="305" t="n">
        <x:v>77735</x:v>
      </x:c>
      <x:c r="G161" s="308" t="n">
        <x:v>0.2179662047435384</x:v>
      </x:c>
      <x:c r="H161" s="308" t="n">
        <x:v>0.943280416335081</x:v>
      </x:c>
      <x:c r="I161" s="302" t="n">
        <x:v>71843</x:v>
      </x:c>
      <x:c r="J161" s="302" t="n">
        <x:v>1596138595</x:v>
      </x:c>
      <x:c r="K161" s="311" t="n">
        <x:f>I161/E161*100000</x:f>
        <x:v>307.38635597866954</x:v>
      </x:c>
      <x:c r="L161" s="314" t="n">
        <x:f>J161/E161</x:f>
        <x:v>68.29214068927571</x:v>
      </x:c>
      <x:c r="M161" s="305" t="n">
        <x:f>J161/I161</x:f>
        <x:v>22217.03708085687</x:v>
      </x:c>
      <x:c r="N161" s="299" t="str">
        <x:v>https://www.ic3.gov/AnnualReport/Reports/2025_IC3Report.pdf</x:v>
      </x:c>
      <x:c r="O161" s="299" t="str">
        <x:v>https://www.census.gov/programs-surveys/acs/data/summary-file.2024.html</x:v>
      </x:c>
    </x:row>
    <x:row r="162">
      <x:c r="A162" s="299" t="n">
        <x:v>2025</x:v>
      </x:c>
      <x:c r="B162" s="299" t="str">
        <x:v>Rhode Island</x:v>
      </x:c>
      <x:c r="C162" s="299" t="str">
        <x:v>Northeast</x:v>
      </x:c>
      <x:c r="D162" s="299" t="n">
        <x:v>2024</x:v>
      </x:c>
      <x:c r="E162" s="302" t="n">
        <x:v>1112308</x:v>
      </x:c>
      <x:c r="F162" s="305" t="n">
        <x:v>83504</x:v>
      </x:c>
      <x:c r="G162" s="308" t="n">
        <x:v>0.19793798120664424</x:v>
      </x:c>
      <x:c r="H162" s="308" t="n">
        <x:v>0.9359204850128703</x:v>
      </x:c>
      <x:c r="I162" s="302" t="n">
        <x:v>2700</x:v>
      </x:c>
      <x:c r="J162" s="302" t="n">
        <x:v>71960439</x:v>
      </x:c>
      <x:c r="K162" s="311" t="n">
        <x:f>I162/E162*100000</x:f>
        <x:v>242.73852206403262</x:v>
      </x:c>
      <x:c r="L162" s="314" t="n">
        <x:f>J162/E162</x:f>
        <x:v>64.69470596273693</x:v>
      </x:c>
      <x:c r="M162" s="305" t="n">
        <x:f>J162/I162</x:f>
        <x:v>26652.014444444445</x:v>
      </x:c>
      <x:c r="N162" s="299" t="str">
        <x:v>https://www.ic3.gov/AnnualReport/Reports/2025_IC3Report.pdf</x:v>
      </x:c>
      <x:c r="O162" s="299" t="str">
        <x:v>https://www.census.gov/programs-surveys/acs/data/summary-file.2024.html</x:v>
      </x:c>
    </x:row>
    <x:row r="163">
      <x:c r="A163" s="299" t="n">
        <x:v>2025</x:v>
      </x:c>
      <x:c r="B163" s="299" t="str">
        <x:v>Maryland</x:v>
      </x:c>
      <x:c r="C163" s="299" t="str">
        <x:v>South</x:v>
      </x:c>
      <x:c r="D163" s="299" t="n">
        <x:v>2024</x:v>
      </x:c>
      <x:c r="E163" s="302" t="n">
        <x:v>6263220</x:v>
      </x:c>
      <x:c r="F163" s="305" t="n">
        <x:v>102905</x:v>
      </x:c>
      <x:c r="G163" s="308" t="n">
        <x:v>0.17558891432841253</x:v>
      </x:c>
      <x:c r="H163" s="308" t="n">
        <x:v>0.9449819563137077</x:v>
      </x:c>
      <x:c r="I163" s="302" t="n">
        <x:v>19430</x:v>
      </x:c>
      <x:c r="J163" s="302" t="n">
        <x:v>390242821</x:v>
      </x:c>
      <x:c r="K163" s="311" t="n">
        <x:f>I163/E163*100000</x:f>
        <x:v>310.22381458738477</x:v>
      </x:c>
      <x:c r="L163" s="314" t="n">
        <x:f>J163/E163</x:f>
        <x:v>62.30705946781368</x:v>
      </x:c>
      <x:c r="M163" s="305" t="n">
        <x:f>J163/I163</x:f>
        <x:v>20084.55074626866</x:v>
      </x:c>
      <x:c r="N163" s="299" t="str">
        <x:v>https://www.ic3.gov/AnnualReport/Reports/2025_IC3Report.pdf</x:v>
      </x:c>
      <x:c r="O163" s="299" t="str">
        <x:v>https://www.census.gov/programs-surveys/acs/data/summary-file.2024.html</x:v>
      </x:c>
    </x:row>
    <x:row r="164">
      <x:c r="A164" s="299" t="n">
        <x:v>2025</x:v>
      </x:c>
      <x:c r="B164" s="299" t="str">
        <x:v>New York</x:v>
      </x:c>
      <x:c r="C164" s="299" t="str">
        <x:v>Northeast</x:v>
      </x:c>
      <x:c r="D164" s="299" t="n">
        <x:v>2024</x:v>
      </x:c>
      <x:c r="E164" s="302" t="n">
        <x:v>19867248</x:v>
      </x:c>
      <x:c r="F164" s="305" t="n">
        <x:v>85820</x:v>
      </x:c>
      <x:c r="G164" s="308" t="n">
        <x:v>0.18911391250564746</x:v>
      </x:c>
      <x:c r="H164" s="308" t="n">
        <x:v>0.932000004087851</x:v>
      </x:c>
      <x:c r="I164" s="302" t="n">
        <x:v>45255</x:v>
      </x:c>
      <x:c r="J164" s="302" t="n">
        <x:v>1226307877</x:v>
      </x:c>
      <x:c r="K164" s="311" t="n">
        <x:f>I164/E164*100000</x:f>
        <x:v>227.78695871718116</x:v>
      </x:c>
      <x:c r="L164" s="314" t="n">
        <x:f>J164/E164</x:f>
        <x:v>61.725100376257444</x:v>
      </x:c>
      <x:c r="M164" s="305" t="n">
        <x:f>J164/I164</x:f>
        <x:v>27097.73233896807</x:v>
      </x:c>
      <x:c r="N164" s="299" t="str">
        <x:v>https://www.ic3.gov/AnnualReport/Reports/2025_IC3Report.pdf</x:v>
      </x:c>
      <x:c r="O164" s="299" t="str">
        <x:v>https://www.census.gov/programs-surveys/acs/data/summary-file.2024.html</x:v>
      </x:c>
    </x:row>
    <x:row r="165">
      <x:c r="A165" s="299" t="n">
        <x:v>2025</x:v>
      </x:c>
      <x:c r="B165" s="299" t="str">
        <x:v>Connecticut</x:v>
      </x:c>
      <x:c r="C165" s="299" t="str">
        <x:v>Northeast</x:v>
      </x:c>
      <x:c r="D165" s="299" t="n">
        <x:v>2024</x:v>
      </x:c>
      <x:c r="E165" s="302" t="n">
        <x:v>3675069</x:v>
      </x:c>
      <x:c r="F165" s="305" t="n">
        <x:v>96049</x:v>
      </x:c>
      <x:c r="G165" s="308" t="n">
        <x:v>0.19410166176471788</x:v>
      </x:c>
      <x:c r="H165" s="308" t="n">
        <x:v>0.9414781805000567</x:v>
      </x:c>
      <x:c r="I165" s="302" t="n">
        <x:v>9714</x:v>
      </x:c>
      <x:c r="J165" s="302" t="n">
        <x:v>219500212</x:v>
      </x:c>
      <x:c r="K165" s="311" t="n">
        <x:f>I165/E165*100000</x:f>
        <x:v>264.3215678399508</x:v>
      </x:c>
      <x:c r="L165" s="314" t="n">
        <x:f>J165/E165</x:f>
        <x:v>59.72682744187932</x:v>
      </x:c>
      <x:c r="M165" s="305" t="n">
        <x:f>J165/I165</x:f>
        <x:v>22596.274655136916</x:v>
      </x:c>
      <x:c r="N165" s="299" t="str">
        <x:v>https://www.ic3.gov/AnnualReport/Reports/2025_IC3Report.pdf</x:v>
      </x:c>
      <x:c r="O165" s="299" t="str">
        <x:v>https://www.census.gov/programs-surveys/acs/data/summary-file.2024.html</x:v>
      </x:c>
    </x:row>
    <x:row r="166">
      <x:c r="A166" s="299" t="n">
        <x:v>2025</x:v>
      </x:c>
      <x:c r="B166" s="299" t="str">
        <x:v>Colorado</x:v>
      </x:c>
      <x:c r="C166" s="299" t="str">
        <x:v>West</x:v>
      </x:c>
      <x:c r="D166" s="299" t="n">
        <x:v>2024</x:v>
      </x:c>
      <x:c r="E166" s="302" t="n">
        <x:v>5957494</x:v>
      </x:c>
      <x:c r="F166" s="305" t="n">
        <x:v>97113</x:v>
      </x:c>
      <x:c r="G166" s="308" t="n">
        <x:v>0.16455979645132668</x:v>
      </x:c>
      <x:c r="H166" s="308" t="n">
        <x:v>0.9500998430576816</x:v>
      </x:c>
      <x:c r="I166" s="302" t="n">
        <x:v>18847</x:v>
      </x:c>
      <x:c r="J166" s="302" t="n">
        <x:v>355049719</x:v>
      </x:c>
      <x:c r="K166" s="311" t="n">
        <x:f>I166/E166*100000</x:f>
        <x:v>316.3578511367364</x:v>
      </x:c>
      <x:c r="L166" s="314" t="n">
        <x:f>J166/E166</x:f>
        <x:v>59.597159308930905</x:v>
      </x:c>
      <x:c r="M166" s="305" t="n">
        <x:f>J166/I166</x:f>
        <x:v>18838.527033480128</x:v>
      </x:c>
      <x:c r="N166" s="299" t="str">
        <x:v>https://www.ic3.gov/AnnualReport/Reports/2025_IC3Report.pdf</x:v>
      </x:c>
      <x:c r="O166" s="299" t="str">
        <x:v>https://www.census.gov/programs-surveys/acs/data/summary-file.2024.html</x:v>
      </x:c>
    </x:row>
    <x:row r="167">
      <x:c r="A167" s="299" t="n">
        <x:v>2025</x:v>
      </x:c>
      <x:c r="B167" s="299" t="str">
        <x:v>Delaware</x:v>
      </x:c>
      <x:c r="C167" s="299" t="str">
        <x:v>South</x:v>
      </x:c>
      <x:c r="D167" s="299" t="n">
        <x:v>2024</x:v>
      </x:c>
      <x:c r="E167" s="302" t="n">
        <x:v>1051917</x:v>
      </x:c>
      <x:c r="F167" s="305" t="n">
        <x:v>87534</x:v>
      </x:c>
      <x:c r="G167" s="308" t="n">
        <x:v>0.21657982521434677</x:v>
      </x:c>
      <x:c r="H167" s="308" t="n">
        <x:v>0.9437866234622997</x:v>
      </x:c>
      <x:c r="I167" s="302" t="n">
        <x:v>3089</x:v>
      </x:c>
      <x:c r="J167" s="302" t="n">
        <x:v>62012494</x:v>
      </x:c>
      <x:c r="K167" s="311" t="n">
        <x:f>I167/E167*100000</x:f>
        <x:v>293.65434725363315</x:v>
      </x:c>
      <x:c r="L167" s="314" t="n">
        <x:f>J167/E167</x:f>
        <x:v>58.95188878970489</x:v>
      </x:c>
      <x:c r="M167" s="305" t="n">
        <x:f>J167/I167</x:f>
        <x:v>20075.265134347686</x:v>
      </x:c>
      <x:c r="N167" s="299" t="str">
        <x:v>https://www.ic3.gov/AnnualReport/Reports/2025_IC3Report.pdf</x:v>
      </x:c>
      <x:c r="O167" s="299" t="str">
        <x:v>https://www.census.gov/programs-surveys/acs/data/summary-file.2024.html</x:v>
      </x:c>
    </x:row>
    <x:row r="168">
      <x:c r="A168" s="299" t="n">
        <x:v>2025</x:v>
      </x:c>
      <x:c r="B168" s="299" t="str">
        <x:v>Texas</x:v>
      </x:c>
      <x:c r="C168" s="299" t="str">
        <x:v>South</x:v>
      </x:c>
      <x:c r="D168" s="299" t="n">
        <x:v>2024</x:v>
      </x:c>
      <x:c r="E168" s="302" t="n">
        <x:v>31290831</x:v>
      </x:c>
      <x:c r="F168" s="305" t="n">
        <x:v>79721</x:v>
      </x:c>
      <x:c r="G168" s="308" t="n">
        <x:v>0.139512721793806</x:v>
      </x:c>
      <x:c r="H168" s="308" t="n">
        <x:v>0.937554024015681</x:v>
      </x:c>
      <x:c r="I168" s="302" t="n">
        <x:v>97912</x:v>
      </x:c>
      <x:c r="J168" s="302" t="n">
        <x:v>1825636181</x:v>
      </x:c>
      <x:c r="K168" s="311" t="n">
        <x:f>I168/E168*100000</x:f>
        <x:v>312.9095548788717</x:v>
      </x:c>
      <x:c r="L168" s="314" t="n">
        <x:f>J168/E168</x:f>
        <x:v>58.34412582395143</x:v>
      </x:c>
      <x:c r="M168" s="305" t="n">
        <x:f>J168/I168</x:f>
        <x:v>18645.68368535011</x:v>
      </x:c>
      <x:c r="N168" s="299" t="str">
        <x:v>https://www.ic3.gov/AnnualReport/Reports/2025_IC3Report.pdf</x:v>
      </x:c>
      <x:c r="O168" s="299" t="str">
        <x:v>https://www.census.gov/programs-surveys/acs/data/summary-file.2024.html</x:v>
      </x:c>
    </x:row>
    <x:row r="169">
      <x:c r="A169" s="299" t="n">
        <x:v>2025</x:v>
      </x:c>
      <x:c r="B169" s="299" t="str">
        <x:v>Massachusetts</x:v>
      </x:c>
      <x:c r="C169" s="299" t="str">
        <x:v>Northeast</x:v>
      </x:c>
      <x:c r="D169" s="299" t="n">
        <x:v>2024</x:v>
      </x:c>
      <x:c r="E169" s="302" t="n">
        <x:v>7136171</x:v>
      </x:c>
      <x:c r="F169" s="305" t="n">
        <x:v>104828</x:v>
      </x:c>
      <x:c r="G169" s="308" t="n">
        <x:v>0.18720711709402704</x:v>
      </x:c>
      <x:c r="H169" s="308" t="n">
        <x:v>0.9446891021427632</x:v>
      </x:c>
      <x:c r="I169" s="302" t="n">
        <x:v>22936</x:v>
      </x:c>
      <x:c r="J169" s="302" t="n">
        <x:v>410924066</x:v>
      </x:c>
      <x:c r="K169" s="311" t="n">
        <x:f>I169/E169*100000</x:f>
        <x:v>321.40485422784855</x:v>
      </x:c>
      <x:c r="L169" s="314" t="n">
        <x:f>J169/E169</x:f>
        <x:v>57.58327063631182</x:v>
      </x:c>
      <x:c r="M169" s="305" t="n">
        <x:f>J169/I169</x:f>
        <x:v>17916.117282874086</x:v>
      </x:c>
      <x:c r="N169" s="299" t="str">
        <x:v>https://www.ic3.gov/AnnualReport/Reports/2025_IC3Report.pdf</x:v>
      </x:c>
      <x:c r="O169" s="299" t="str">
        <x:v>https://www.census.gov/programs-surveys/acs/data/summary-file.2024.html</x:v>
      </x:c>
    </x:row>
    <x:row r="170">
      <x:c r="A170" s="299" t="n">
        <x:v>2025</x:v>
      </x:c>
      <x:c r="B170" s="299" t="str">
        <x:v>Washington</x:v>
      </x:c>
      <x:c r="C170" s="299" t="str">
        <x:v>West</x:v>
      </x:c>
      <x:c r="D170" s="299" t="n">
        <x:v>2024</x:v>
      </x:c>
      <x:c r="E170" s="302" t="n">
        <x:v>7958180</x:v>
      </x:c>
      <x:c r="F170" s="305" t="n">
        <x:v>99389</x:v>
      </x:c>
      <x:c r="G170" s="308" t="n">
        <x:v>0.17321900233470466</x:v>
      </x:c>
      <x:c r="H170" s="308" t="n">
        <x:v>0.9508819221736825</x:v>
      </x:c>
      <x:c r="I170" s="302" t="n">
        <x:v>25619</x:v>
      </x:c>
      <x:c r="J170" s="302" t="n">
        <x:v>458165375</x:v>
      </x:c>
      <x:c r="K170" s="311" t="n">
        <x:f>I170/E170*100000</x:f>
        <x:v>321.92033856987405</x:v>
      </x:c>
      <x:c r="L170" s="314" t="n">
        <x:f>J170/E170</x:f>
        <x:v>57.57162755805976</x:v>
      </x:c>
      <x:c r="M170" s="305" t="n">
        <x:f>J170/I170</x:f>
        <x:v>17883.811819352824</x:v>
      </x:c>
      <x:c r="N170" s="299" t="str">
        <x:v>https://www.ic3.gov/AnnualReport/Reports/2025_IC3Report.pdf</x:v>
      </x:c>
      <x:c r="O170" s="299" t="str">
        <x:v>https://www.census.gov/programs-surveys/acs/data/summary-file.2024.html</x:v>
      </x:c>
    </x:row>
    <x:row r="171">
      <x:c r="A171" s="299" t="n">
        <x:v>2025</x:v>
      </x:c>
      <x:c r="B171" s="299" t="str">
        <x:v>Utah</x:v>
      </x:c>
      <x:c r="C171" s="299" t="str">
        <x:v>West</x:v>
      </x:c>
      <x:c r="D171" s="299" t="n">
        <x:v>2024</x:v>
      </x:c>
      <x:c r="E171" s="302" t="n">
        <x:v>3503613</x:v>
      </x:c>
      <x:c r="F171" s="305" t="n">
        <x:v>96658</x:v>
      </x:c>
      <x:c r="G171" s="308" t="n">
        <x:v>0.1241352854895789</x:v>
      </x:c>
      <x:c r="H171" s="308" t="n">
        <x:v>0.9409098737956212</x:v>
      </x:c>
      <x:c r="I171" s="302" t="n">
        <x:v>9903</x:v>
      </x:c>
      <x:c r="J171" s="302" t="n">
        <x:v>195417205</x:v>
      </x:c>
      <x:c r="K171" s="311" t="n">
        <x:f>I171/E171*100000</x:f>
        <x:v>282.65108047036017</x:v>
      </x:c>
      <x:c r="L171" s="314" t="n">
        <x:f>J171/E171</x:f>
        <x:v>55.77591046728049</x:v>
      </x:c>
      <x:c r="M171" s="305" t="n">
        <x:f>J171/I171</x:f>
        <x:v>19733.131879228516</x:v>
      </x:c>
      <x:c r="N171" s="299" t="str">
        <x:v>https://www.ic3.gov/AnnualReport/Reports/2025_IC3Report.pdf</x:v>
      </x:c>
      <x:c r="O171" s="299" t="str">
        <x:v>https://www.census.gov/programs-surveys/acs/data/summary-file.2024.html</x:v>
      </x:c>
    </x:row>
    <x:row r="172">
      <x:c r="A172" s="299" t="n">
        <x:v>2025</x:v>
      </x:c>
      <x:c r="B172" s="299" t="str">
        <x:v>South Dakota</x:v>
      </x:c>
      <x:c r="C172" s="299" t="str">
        <x:v>Midwest</x:v>
      </x:c>
      <x:c r="D172" s="299" t="n">
        <x:v>2024</x:v>
      </x:c>
      <x:c r="E172" s="302" t="n">
        <x:v>924669</x:v>
      </x:c>
      <x:c r="F172" s="305" t="n">
        <x:v>76881</x:v>
      </x:c>
      <x:c r="G172" s="308" t="n">
        <x:v>0.19023239667383676</x:v>
      </x:c>
      <x:c r="H172" s="308" t="n">
        <x:v>0.9147689522942595</x:v>
      </x:c>
      <x:c r="I172" s="302" t="n">
        <x:v>2514</x:v>
      </x:c>
      <x:c r="J172" s="302" t="n">
        <x:v>51452806</x:v>
      </x:c>
      <x:c r="K172" s="311" t="n">
        <x:f>I172/E172*100000</x:f>
        <x:v>271.8810731191378</x:v>
      </x:c>
      <x:c r="L172" s="314" t="n">
        <x:f>J172/E172</x:f>
        <x:v>55.644566866630115</x:v>
      </x:c>
      <x:c r="M172" s="305" t="n">
        <x:f>J172/I172</x:f>
        <x:v>20466.509944311852</x:v>
      </x:c>
      <x:c r="N172" s="299" t="str">
        <x:v>https://www.ic3.gov/AnnualReport/Reports/2025_IC3Report.pdf</x:v>
      </x:c>
      <x:c r="O172" s="299" t="str">
        <x:v>https://www.census.gov/programs-surveys/acs/data/summary-file.2024.html</x:v>
      </x:c>
    </x:row>
    <x:row r="173">
      <x:c r="A173" s="299" t="n">
        <x:v>2025</x:v>
      </x:c>
      <x:c r="B173" s="299" t="str">
        <x:v>Virginia</x:v>
      </x:c>
      <x:c r="C173" s="299" t="str">
        <x:v>South</x:v>
      </x:c>
      <x:c r="D173" s="299" t="n">
        <x:v>2024</x:v>
      </x:c>
      <x:c r="E173" s="302" t="n">
        <x:v>8811195</x:v>
      </x:c>
      <x:c r="F173" s="305" t="n">
        <x:v>92090</x:v>
      </x:c>
      <x:c r="G173" s="308" t="n">
        <x:v>0.17595626926881086</x:v>
      </x:c>
      <x:c r="H173" s="308" t="n">
        <x:v>0.9291017007184341</x:v>
      </x:c>
      <x:c r="I173" s="302" t="n">
        <x:v>25314</x:v>
      </x:c>
      <x:c r="J173" s="302" t="n">
        <x:v>476120025</x:v>
      </x:c>
      <x:c r="K173" s="311" t="n">
        <x:f>I173/E173*100000</x:f>
        <x:v>287.2936077342517</x:v>
      </x:c>
      <x:c r="L173" s="314" t="n">
        <x:f>J173/E173</x:f>
        <x:v>54.035806153421866</x:v>
      </x:c>
      <x:c r="M173" s="305" t="n">
        <x:f>J173/I173</x:f>
        <x:v>18808.56541834558</x:v>
      </x:c>
      <x:c r="N173" s="299" t="str">
        <x:v>https://www.ic3.gov/AnnualReport/Reports/2025_IC3Report.pdf</x:v>
      </x:c>
      <x:c r="O173" s="299" t="str">
        <x:v>https://www.census.gov/programs-surveys/acs/data/summary-file.2024.html</x:v>
      </x:c>
    </x:row>
    <x:row r="174">
      <x:c r="A174" s="299" t="n">
        <x:v>2025</x:v>
      </x:c>
      <x:c r="B174" s="299" t="str">
        <x:v>Alaska</x:v>
      </x:c>
      <x:c r="C174" s="299" t="str">
        <x:v>West</x:v>
      </x:c>
      <x:c r="D174" s="299" t="n">
        <x:v>2024</x:v>
      </x:c>
      <x:c r="E174" s="302" t="n">
        <x:v>740133</x:v>
      </x:c>
      <x:c r="F174" s="305" t="n">
        <x:v>95665</x:v>
      </x:c>
      <x:c r="G174" s="308" t="n">
        <x:v>0.1478315383856685</x:v>
      </x:c>
      <x:c r="H174" s="308" t="n">
        <x:v>0.9361564706526301</x:v>
      </x:c>
      <x:c r="I174" s="302" t="n">
        <x:v>3202</x:v>
      </x:c>
      <x:c r="J174" s="302" t="n">
        <x:v>39972438</x:v>
      </x:c>
      <x:c r="K174" s="311" t="n">
        <x:f>I174/E174*100000</x:f>
        <x:v>432.62494713787925</x:v>
      </x:c>
      <x:c r="L174" s="314" t="n">
        <x:f>J174/E174</x:f>
        <x:v>54.00710142636526</x:v>
      </x:c>
      <x:c r="M174" s="305" t="n">
        <x:f>J174/I174</x:f>
        <x:v>12483.584634603372</x:v>
      </x:c>
      <x:c r="N174" s="299" t="str">
        <x:v>https://www.ic3.gov/AnnualReport/Reports/2025_IC3Report.pdf</x:v>
      </x:c>
      <x:c r="O174" s="299" t="str">
        <x:v>https://www.census.gov/programs-surveys/acs/data/summary-file.2024.html</x:v>
      </x:c>
    </x:row>
    <x:row r="175">
      <x:c r="A175" s="299" t="n">
        <x:v>2025</x:v>
      </x:c>
      <x:c r="B175" s="299" t="str">
        <x:v>West Virginia</x:v>
      </x:c>
      <x:c r="C175" s="299" t="str">
        <x:v>South</x:v>
      </x:c>
      <x:c r="D175" s="299" t="n">
        <x:v>2024</x:v>
      </x:c>
      <x:c r="E175" s="302" t="n">
        <x:v>1769979</x:v>
      </x:c>
      <x:c r="F175" s="305" t="n">
        <x:v>60798</x:v>
      </x:c>
      <x:c r="G175" s="308" t="n">
        <x:v>0.21856248011982063</x:v>
      </x:c>
      <x:c r="H175" s="308" t="n">
        <x:v>0.8959694400950272</x:v>
      </x:c>
      <x:c r="I175" s="302" t="n">
        <x:v>4209</x:v>
      </x:c>
      <x:c r="J175" s="302" t="n">
        <x:v>92648544</x:v>
      </x:c>
      <x:c r="K175" s="311" t="n">
        <x:f>I175/E175*100000</x:f>
        <x:v>237.79943151867903</x:v>
      </x:c>
      <x:c r="L175" s="314" t="n">
        <x:f>J175/E175</x:f>
        <x:v>52.344431205115995</x:v>
      </x:c>
      <x:c r="M175" s="305" t="n">
        <x:f>J175/I175</x:f>
        <x:v>22012.0085531005</x:v>
      </x:c>
      <x:c r="N175" s="299" t="str">
        <x:v>https://www.ic3.gov/AnnualReport/Reports/2025_IC3Report.pdf</x:v>
      </x:c>
      <x:c r="O175" s="299" t="str">
        <x:v>https://www.census.gov/programs-surveys/acs/data/summary-file.2024.html</x:v>
      </x:c>
    </x:row>
    <x:row r="176">
      <x:c r="A176" s="299" t="n">
        <x:v>2025</x:v>
      </x:c>
      <x:c r="B176" s="299" t="str">
        <x:v>Kansas</x:v>
      </x:c>
      <x:c r="C176" s="299" t="str">
        <x:v>Midwest</x:v>
      </x:c>
      <x:c r="D176" s="299" t="n">
        <x:v>2024</x:v>
      </x:c>
      <x:c r="E176" s="302" t="n">
        <x:v>2970606</x:v>
      </x:c>
      <x:c r="F176" s="305" t="n">
        <x:v>75514</x:v>
      </x:c>
      <x:c r="G176" s="308" t="n">
        <x:v>0.17968522247649132</x:v>
      </x:c>
      <x:c r="H176" s="308" t="n">
        <x:v>0.926420696561035</x:v>
      </x:c>
      <x:c r="I176" s="302" t="n">
        <x:v>7927</x:v>
      </x:c>
      <x:c r="J176" s="302" t="n">
        <x:v>147337101</x:v>
      </x:c>
      <x:c r="K176" s="311" t="n">
        <x:f>I176/E176*100000</x:f>
        <x:v>266.84790914715717</x:v>
      </x:c>
      <x:c r="L176" s="314" t="n">
        <x:f>J176/E176</x:f>
        <x:v>49.59833145156241</x:v>
      </x:c>
      <x:c r="M176" s="305" t="n">
        <x:f>J176/I176</x:f>
        <x:v>18586.7416424877</x:v>
      </x:c>
      <x:c r="N176" s="299" t="str">
        <x:v>https://www.ic3.gov/AnnualReport/Reports/2025_IC3Report.pdf</x:v>
      </x:c>
      <x:c r="O176" s="299" t="str">
        <x:v>https://www.census.gov/programs-surveys/acs/data/summary-file.2024.html</x:v>
      </x:c>
    </x:row>
    <x:row r="177">
      <x:c r="A177" s="299" t="n">
        <x:v>2025</x:v>
      </x:c>
      <x:c r="B177" s="299" t="str">
        <x:v>South Carolina</x:v>
      </x:c>
      <x:c r="C177" s="299" t="str">
        <x:v>South</x:v>
      </x:c>
      <x:c r="D177" s="299" t="n">
        <x:v>2024</x:v>
      </x:c>
      <x:c r="E177" s="302" t="n">
        <x:v>5478831</x:v>
      </x:c>
      <x:c r="F177" s="305" t="n">
        <x:v>72350</x:v>
      </x:c>
      <x:c r="G177" s="308" t="n">
        <x:v>0.1976195286914307</x:v>
      </x:c>
      <x:c r="H177" s="308" t="n">
        <x:v>0.9294661454233002</x:v>
      </x:c>
      <x:c r="I177" s="302" t="n">
        <x:v>14699</x:v>
      </x:c>
      <x:c r="J177" s="302" t="n">
        <x:v>264083026</x:v>
      </x:c>
      <x:c r="K177" s="311" t="n">
        <x:f>I177/E177*100000</x:f>
        <x:v>268.28715833724385</x:v>
      </x:c>
      <x:c r="L177" s="314" t="n">
        <x:f>J177/E177</x:f>
        <x:v>48.20061542325361</x:v>
      </x:c>
      <x:c r="M177" s="305" t="n">
        <x:f>J177/I177</x:f>
        <x:v>17966.05388121641</x:v>
      </x:c>
      <x:c r="N177" s="299" t="str">
        <x:v>https://www.ic3.gov/AnnualReport/Reports/2025_IC3Report.pdf</x:v>
      </x:c>
      <x:c r="O177" s="299" t="str">
        <x:v>https://www.census.gov/programs-surveys/acs/data/summary-file.2024.html</x:v>
      </x:c>
    </x:row>
    <x:row r="178">
      <x:c r="A178" s="299" t="n">
        <x:v>2025</x:v>
      </x:c>
      <x:c r="B178" s="299" t="str">
        <x:v>Georgia</x:v>
      </x:c>
      <x:c r="C178" s="299" t="str">
        <x:v>South</x:v>
      </x:c>
      <x:c r="D178" s="299" t="n">
        <x:v>2024</x:v>
      </x:c>
      <x:c r="E178" s="302" t="n">
        <x:v>11180878</x:v>
      </x:c>
      <x:c r="F178" s="305" t="n">
        <x:v>79991</x:v>
      </x:c>
      <x:c r="G178" s="308" t="n">
        <x:v>0.15791273279254098</x:v>
      </x:c>
      <x:c r="H178" s="308" t="n">
        <x:v>0.9350752428725635</x:v>
      </x:c>
      <x:c r="I178" s="302" t="n">
        <x:v>25936</x:v>
      </x:c>
      <x:c r="J178" s="302" t="n">
        <x:v>534581965</x:v>
      </x:c>
      <x:c r="K178" s="311" t="n">
        <x:f>I178/E178*100000</x:f>
        <x:v>231.9674716064338</x:v>
      </x:c>
      <x:c r="L178" s="314" t="n">
        <x:f>J178/E178</x:f>
        <x:v>47.812163320268766</x:v>
      </x:c>
      <x:c r="M178" s="305" t="n">
        <x:f>J178/I178</x:f>
        <x:v>20611.581007094384</x:v>
      </x:c>
      <x:c r="N178" s="299" t="str">
        <x:v>https://www.ic3.gov/AnnualReport/Reports/2025_IC3Report.pdf</x:v>
      </x:c>
      <x:c r="O178" s="299" t="str">
        <x:v>https://www.census.gov/programs-surveys/acs/data/summary-file.2024.html</x:v>
      </x:c>
    </x:row>
    <x:row r="179">
      <x:c r="A179" s="299" t="n">
        <x:v>2025</x:v>
      </x:c>
      <x:c r="B179" s="299" t="str">
        <x:v>North Dakota</x:v>
      </x:c>
      <x:c r="C179" s="299" t="str">
        <x:v>Midwest</x:v>
      </x:c>
      <x:c r="D179" s="299" t="n">
        <x:v>2024</x:v>
      </x:c>
      <x:c r="E179" s="302" t="n">
        <x:v>796568</x:v>
      </x:c>
      <x:c r="F179" s="305" t="n">
        <x:v>77871</x:v>
      </x:c>
      <x:c r="G179" s="308" t="n">
        <x:v>0.1761243233471593</x:v>
      </x:c>
      <x:c r="H179" s="308" t="n">
        <x:v>0.908397077536781</x:v>
      </x:c>
      <x:c r="I179" s="302" t="n">
        <x:v>1418</x:v>
      </x:c>
      <x:c r="J179" s="302" t="n">
        <x:v>37865442</x:v>
      </x:c>
      <x:c r="K179" s="311" t="n">
        <x:f>I179/E179*100000</x:f>
        <x:v>178.0136786815438</x:v>
      </x:c>
      <x:c r="L179" s="314" t="n">
        <x:f>J179/E179</x:f>
        <x:v>47.53573078506794</x:v>
      </x:c>
      <x:c r="M179" s="305" t="n">
        <x:f>J179/I179</x:f>
        <x:v>26703.414668547248</x:v>
      </x:c>
      <x:c r="N179" s="299" t="str">
        <x:v>https://www.ic3.gov/AnnualReport/Reports/2025_IC3Report.pdf</x:v>
      </x:c>
      <x:c r="O179" s="299" t="str">
        <x:v>https://www.census.gov/programs-surveys/acs/data/summary-file.2024.html</x:v>
      </x:c>
    </x:row>
    <x:row r="180">
      <x:c r="A180" s="299" t="n">
        <x:v>2025</x:v>
      </x:c>
      <x:c r="B180" s="299" t="str">
        <x:v>Montana</x:v>
      </x:c>
      <x:c r="C180" s="299" t="str">
        <x:v>West</x:v>
      </x:c>
      <x:c r="D180" s="299" t="n">
        <x:v>2024</x:v>
      </x:c>
      <x:c r="E180" s="302" t="n">
        <x:v>1137233</x:v>
      </x:c>
      <x:c r="F180" s="305" t="n">
        <x:v>75340</x:v>
      </x:c>
      <x:c r="G180" s="308" t="n">
        <x:v>0.21228982978861852</x:v>
      </x:c>
      <x:c r="H180" s="308" t="n">
        <x:v>0.9169603885871709</x:v>
      </x:c>
      <x:c r="I180" s="302" t="n">
        <x:v>2618</x:v>
      </x:c>
      <x:c r="J180" s="302" t="n">
        <x:v>53192859</x:v>
      </x:c>
      <x:c r="K180" s="311" t="n">
        <x:f>I180/E180*100000</x:f>
        <x:v>230.20788176213668</x:v>
      </x:c>
      <x:c r="L180" s="314" t="n">
        <x:f>J180/E180</x:f>
        <x:v>46.77393199106955</x:v>
      </x:c>
      <x:c r="M180" s="305" t="n">
        <x:f>J180/I180</x:f>
        <x:v>20318.12796027502</x:v>
      </x:c>
      <x:c r="N180" s="299" t="str">
        <x:v>https://www.ic3.gov/AnnualReport/Reports/2025_IC3Report.pdf</x:v>
      </x:c>
      <x:c r="O180" s="299" t="str">
        <x:v>https://www.census.gov/programs-surveys/acs/data/summary-file.2024.html</x:v>
      </x:c>
    </x:row>
    <x:row r="181">
      <x:c r="A181" s="299" t="n">
        <x:v>2025</x:v>
      </x:c>
      <x:c r="B181" s="299" t="str">
        <x:v>Oregon</x:v>
      </x:c>
      <x:c r="C181" s="299" t="str">
        <x:v>West</x:v>
      </x:c>
      <x:c r="D181" s="299" t="n">
        <x:v>2024</x:v>
      </x:c>
      <x:c r="E181" s="302" t="n">
        <x:v>4272371</x:v>
      </x:c>
      <x:c r="F181" s="305" t="n">
        <x:v>85220</x:v>
      </x:c>
      <x:c r="G181" s="308" t="n">
        <x:v>0.19900355095566372</x:v>
      </x:c>
      <x:c r="H181" s="308" t="n">
        <x:v>0.9380388357307068</x:v>
      </x:c>
      <x:c r="I181" s="302" t="n">
        <x:v>12477</x:v>
      </x:c>
      <x:c r="J181" s="302" t="n">
        <x:v>193196479</x:v>
      </x:c>
      <x:c r="K181" s="311" t="n">
        <x:f>I181/E181*100000</x:f>
        <x:v>292.0392447191501</x:v>
      </x:c>
      <x:c r="L181" s="314" t="n">
        <x:f>J181/E181</x:f>
        <x:v>45.21996778837793</x:v>
      </x:c>
      <x:c r="M181" s="305" t="n">
        <x:f>J181/I181</x:f>
        <x:v>15484.209265047688</x:v>
      </x:c>
      <x:c r="N181" s="299" t="str">
        <x:v>https://www.ic3.gov/AnnualReport/Reports/2025_IC3Report.pdf</x:v>
      </x:c>
      <x:c r="O181" s="299" t="str">
        <x:v>https://www.census.gov/programs-surveys/acs/data/summary-file.2024.html</x:v>
      </x:c>
    </x:row>
    <x:row r="182">
      <x:c r="A182" s="299" t="n">
        <x:v>2025</x:v>
      </x:c>
      <x:c r="B182" s="299" t="str">
        <x:v>Idaho</x:v>
      </x:c>
      <x:c r="C182" s="299" t="str">
        <x:v>West</x:v>
      </x:c>
      <x:c r="D182" s="299" t="n">
        <x:v>2024</x:v>
      </x:c>
      <x:c r="E182" s="302" t="n">
        <x:v>2001619</x:v>
      </x:c>
      <x:c r="F182" s="305" t="n">
        <x:v>81166</x:v>
      </x:c>
      <x:c r="G182" s="308" t="n">
        <x:v>0.17763170713307577</x:v>
      </x:c>
      <x:c r="H182" s="308" t="n">
        <x:v>0.9293618981310763</x:v>
      </x:c>
      <x:c r="I182" s="302" t="n">
        <x:v>4479</x:v>
      </x:c>
      <x:c r="J182" s="302" t="n">
        <x:v>88725284</x:v>
      </x:c>
      <x:c r="K182" s="311" t="n">
        <x:f>I182/E182*100000</x:f>
        <x:v>223.76885910855162</x:v>
      </x:c>
      <x:c r="L182" s="314" t="n">
        <x:f>J182/E182</x:f>
        <x:v>44.326759488194305</x:v>
      </x:c>
      <x:c r="M182" s="305" t="n">
        <x:f>J182/I182</x:f>
        <x:v>19809.172583165884</x:v>
      </x:c>
      <x:c r="N182" s="299" t="str">
        <x:v>https://www.ic3.gov/AnnualReport/Reports/2025_IC3Report.pdf</x:v>
      </x:c>
      <x:c r="O182" s="299" t="str">
        <x:v>https://www.census.gov/programs-surveys/acs/data/summary-file.2024.html</x:v>
      </x:c>
    </x:row>
    <x:row r="183">
      <x:c r="A183" s="299" t="n">
        <x:v>2025</x:v>
      </x:c>
      <x:c r="B183" s="299" t="str">
        <x:v>Wyoming</x:v>
      </x:c>
      <x:c r="C183" s="299" t="str">
        <x:v>West</x:v>
      </x:c>
      <x:c r="D183" s="299" t="n">
        <x:v>2024</x:v>
      </x:c>
      <x:c r="E183" s="302" t="n">
        <x:v>587618</x:v>
      </x:c>
      <x:c r="F183" s="305" t="n">
        <x:v>75532</x:v>
      </x:c>
      <x:c r="G183" s="308" t="n">
        <x:v>0.19974371105037625</x:v>
      </x:c>
      <x:c r="H183" s="308" t="n">
        <x:v>0.9007682733164514</x:v>
      </x:c>
      <x:c r="I183" s="302" t="n">
        <x:v>1552</x:v>
      </x:c>
      <x:c r="J183" s="302" t="n">
        <x:v>25826205</x:v>
      </x:c>
      <x:c r="K183" s="311" t="n">
        <x:f>I183/E183*100000</x:f>
        <x:v>264.11716455248137</x:v>
      </x:c>
      <x:c r="L183" s="314" t="n">
        <x:f>J183/E183</x:f>
        <x:v>43.95067033344792</x:v>
      </x:c>
      <x:c r="M183" s="305" t="n">
        <x:f>J183/I183</x:f>
        <x:v>16640.59600515464</x:v>
      </x:c>
      <x:c r="N183" s="299" t="str">
        <x:v>https://www.ic3.gov/AnnualReport/Reports/2025_IC3Report.pdf</x:v>
      </x:c>
      <x:c r="O183" s="299" t="str">
        <x:v>https://www.census.gov/programs-surveys/acs/data/summary-file.2024.html</x:v>
      </x:c>
    </x:row>
    <x:row r="184">
      <x:c r="A184" s="299" t="n">
        <x:v>2025</x:v>
      </x:c>
      <x:c r="B184" s="299" t="str">
        <x:v>Minnesota</x:v>
      </x:c>
      <x:c r="C184" s="299" t="str">
        <x:v>Midwest</x:v>
      </x:c>
      <x:c r="D184" s="299" t="n">
        <x:v>2024</x:v>
      </x:c>
      <x:c r="E184" s="302" t="n">
        <x:v>5793151</x:v>
      </x:c>
      <x:c r="F184" s="305" t="n">
        <x:v>87117</x:v>
      </x:c>
      <x:c r="G184" s="308" t="n">
        <x:v>0.1823313426492767</x:v>
      </x:c>
      <x:c r="H184" s="308" t="n">
        <x:v>0.9300795196158823</x:v>
      </x:c>
      <x:c r="I184" s="302" t="n">
        <x:v>13595</x:v>
      </x:c>
      <x:c r="J184" s="302" t="n">
        <x:v>248892986</x:v>
      </x:c>
      <x:c r="K184" s="311" t="n">
        <x:f>I184/E184*100000</x:f>
        <x:v>234.6736689583959</x:v>
      </x:c>
      <x:c r="L184" s="314" t="n">
        <x:f>J184/E184</x:f>
        <x:v>42.96331754514944</x:v>
      </x:c>
      <x:c r="M184" s="305" t="n">
        <x:f>J184/I184</x:f>
        <x:v>18307.68561971313</x:v>
      </x:c>
      <x:c r="N184" s="299" t="str">
        <x:v>https://www.ic3.gov/AnnualReport/Reports/2025_IC3Report.pdf</x:v>
      </x:c>
      <x:c r="O184" s="299" t="str">
        <x:v>https://www.census.gov/programs-surveys/acs/data/summary-file.2024.html</x:v>
      </x:c>
    </x:row>
    <x:row r="185">
      <x:c r="A185" s="299" t="n">
        <x:v>2025</x:v>
      </x:c>
      <x:c r="B185" s="299" t="str">
        <x:v>Illinois</x:v>
      </x:c>
      <x:c r="C185" s="299" t="str">
        <x:v>Midwest</x:v>
      </x:c>
      <x:c r="D185" s="299" t="n">
        <x:v>2024</x:v>
      </x:c>
      <x:c r="E185" s="302" t="n">
        <x:v>12710158</x:v>
      </x:c>
      <x:c r="F185" s="305" t="n">
        <x:v>83211</x:v>
      </x:c>
      <x:c r="G185" s="308" t="n">
        <x:v>0.17895780681876652</x:v>
      </x:c>
      <x:c r="H185" s="308" t="n">
        <x:v>0.930186733857636</x:v>
      </x:c>
      <x:c r="I185" s="302" t="n">
        <x:v>32977</x:v>
      </x:c>
      <x:c r="J185" s="302" t="n">
        <x:v>535255201</x:v>
      </x:c>
      <x:c r="K185" s="311" t="n">
        <x:f>I185/E185*100000</x:f>
        <x:v>259.45389506566323</x:v>
      </x:c>
      <x:c r="L185" s="314" t="n">
        <x:f>J185/E185</x:f>
        <x:v>42.11239553434348</x:v>
      </x:c>
      <x:c r="M185" s="305" t="n">
        <x:f>J185/I185</x:f>
        <x:v>16231.167207447616</x:v>
      </x:c>
      <x:c r="N185" s="299" t="str">
        <x:v>https://www.ic3.gov/AnnualReport/Reports/2025_IC3Report.pdf</x:v>
      </x:c>
      <x:c r="O185" s="299" t="str">
        <x:v>https://www.census.gov/programs-surveys/acs/data/summary-file.2024.html</x:v>
      </x:c>
    </x:row>
    <x:row r="186">
      <x:c r="A186" s="299" t="n">
        <x:v>2025</x:v>
      </x:c>
      <x:c r="B186" s="299" t="str">
        <x:v>New Hampshire</x:v>
      </x:c>
      <x:c r="C186" s="299" t="str">
        <x:v>Northeast</x:v>
      </x:c>
      <x:c r="D186" s="299" t="n">
        <x:v>2024</x:v>
      </x:c>
      <x:c r="E186" s="302" t="n">
        <x:v>1409032</x:v>
      </x:c>
      <x:c r="F186" s="305" t="n">
        <x:v>99782</x:v>
      </x:c>
      <x:c r="G186" s="308" t="n">
        <x:v>0.21520590022086084</x:v>
      </x:c>
      <x:c r="H186" s="308" t="n">
        <x:v>0.9537313668215087</x:v>
      </x:c>
      <x:c r="I186" s="302" t="n">
        <x:v>4374</x:v>
      </x:c>
      <x:c r="J186" s="302" t="n">
        <x:v>59283023</x:v>
      </x:c>
      <x:c r="K186" s="311" t="n">
        <x:f>I186/E186*100000</x:f>
        <x:v>310.42588103038116</x:v>
      </x:c>
      <x:c r="L186" s="314" t="n">
        <x:f>J186/E186</x:f>
        <x:v>42.073581721351964</x:v>
      </x:c>
      <x:c r="M186" s="305" t="n">
        <x:f>J186/I186</x:f>
        <x:v>13553.503200731595</x:v>
      </x:c>
      <x:c r="N186" s="299" t="str">
        <x:v>https://www.ic3.gov/AnnualReport/Reports/2025_IC3Report.pdf</x:v>
      </x:c>
      <x:c r="O186" s="299" t="str">
        <x:v>https://www.census.gov/programs-surveys/acs/data/summary-file.2024.html</x:v>
      </x:c>
    </x:row>
    <x:row r="187">
      <x:c r="A187" s="299" t="n">
        <x:v>2025</x:v>
      </x:c>
      <x:c r="B187" s="299" t="str">
        <x:v>Pennsylvania</x:v>
      </x:c>
      <x:c r="C187" s="299" t="str">
        <x:v>Northeast</x:v>
      </x:c>
      <x:c r="D187" s="299" t="n">
        <x:v>2024</x:v>
      </x:c>
      <x:c r="E187" s="302" t="n">
        <x:v>13078751</x:v>
      </x:c>
      <x:c r="F187" s="305" t="n">
        <x:v>77545</x:v>
      </x:c>
      <x:c r="G187" s="308" t="n">
        <x:v>0.20384010675025466</x:v>
      </x:c>
      <x:c r="H187" s="308" t="n">
        <x:v>0.9227961006571767</x:v>
      </x:c>
      <x:c r="I187" s="302" t="n">
        <x:v>31154</x:v>
      </x:c>
      <x:c r="J187" s="302" t="n">
        <x:v>537787231</x:v>
      </x:c>
      <x:c r="K187" s="311" t="n">
        <x:f>I187/E187*100000</x:f>
        <x:v>238.20317398809718</x:v>
      </x:c>
      <x:c r="L187" s="314" t="n">
        <x:f>J187/E187</x:f>
        <x:v>41.119158167320414</x:v>
      </x:c>
      <x:c r="M187" s="305" t="n">
        <x:f>J187/I187</x:f>
        <x:v>17262.220934711433</x:v>
      </x:c>
      <x:c r="N187" s="299" t="str">
        <x:v>https://www.ic3.gov/AnnualReport/Reports/2025_IC3Report.pdf</x:v>
      </x:c>
      <x:c r="O187" s="299" t="str">
        <x:v>https://www.census.gov/programs-surveys/acs/data/summary-file.2024.html</x:v>
      </x:c>
    </x:row>
    <x:row r="188">
      <x:c r="A188" s="299" t="n">
        <x:v>2025</x:v>
      </x:c>
      <x:c r="B188" s="299" t="str">
        <x:v>Vermont</x:v>
      </x:c>
      <x:c r="C188" s="299" t="str">
        <x:v>Northeast</x:v>
      </x:c>
      <x:c r="D188" s="299" t="n">
        <x:v>2024</x:v>
      </x:c>
      <x:c r="E188" s="302" t="n">
        <x:v>648493</x:v>
      </x:c>
      <x:c r="F188" s="305" t="n">
        <x:v>82730</x:v>
      </x:c>
      <x:c r="G188" s="308" t="n">
        <x:v>0.22896931809595478</x:v>
      </x:c>
      <x:c r="H188" s="308" t="n">
        <x:v>0.9297210976788491</x:v>
      </x:c>
      <x:c r="I188" s="302" t="n">
        <x:v>1580</x:v>
      </x:c>
      <x:c r="J188" s="302" t="n">
        <x:v>26567033</x:v>
      </x:c>
      <x:c r="K188" s="311" t="n">
        <x:f>I188/E188*100000</x:f>
        <x:v>243.64179721292288</x:v>
      </x:c>
      <x:c r="L188" s="314" t="n">
        <x:f>J188/E188</x:f>
        <x:v>40.96733966287994</x:v>
      </x:c>
      <x:c r="M188" s="305" t="n">
        <x:f>J188/I188</x:f>
        <x:v>16814.577848101268</x:v>
      </x:c>
      <x:c r="N188" s="299" t="str">
        <x:v>https://www.ic3.gov/AnnualReport/Reports/2025_IC3Report.pdf</x:v>
      </x:c>
      <x:c r="O188" s="299" t="str">
        <x:v>https://www.census.gov/programs-surveys/acs/data/summary-file.2024.html</x:v>
      </x:c>
    </x:row>
    <x:row r="189">
      <x:c r="A189" s="299" t="n">
        <x:v>2025</x:v>
      </x:c>
      <x:c r="B189" s="299" t="str">
        <x:v>Maine</x:v>
      </x:c>
      <x:c r="C189" s="299" t="str">
        <x:v>Northeast</x:v>
      </x:c>
      <x:c r="D189" s="299" t="n">
        <x:v>2024</x:v>
      </x:c>
      <x:c r="E189" s="302" t="n">
        <x:v>1405012</x:v>
      </x:c>
      <x:c r="F189" s="305" t="n">
        <x:v>76442</x:v>
      </x:c>
      <x:c r="G189" s="308" t="n">
        <x:v>0.23482077021406222</x:v>
      </x:c>
      <x:c r="H189" s="308" t="n">
        <x:v>0.9268572171609223</x:v>
      </x:c>
      <x:c r="I189" s="302" t="n">
        <x:v>2888</x:v>
      </x:c>
      <x:c r="J189" s="302" t="n">
        <x:v>56536020</x:v>
      </x:c>
      <x:c r="K189" s="311" t="n">
        <x:f>I189/E189*100000</x:f>
        <x:v>205.54984583761563</x:v>
      </x:c>
      <x:c r="L189" s="314" t="n">
        <x:f>J189/E189</x:f>
        <x:v>40.238816465624495</x:v>
      </x:c>
      <x:c r="M189" s="305" t="n">
        <x:f>J189/I189</x:f>
        <x:v>19576.184210526317</x:v>
      </x:c>
      <x:c r="N189" s="299" t="str">
        <x:v>https://www.ic3.gov/AnnualReport/Reports/2025_IC3Report.pdf</x:v>
      </x:c>
      <x:c r="O189" s="299" t="str">
        <x:v>https://www.census.gov/programs-surveys/acs/data/summary-file.2024.html</x:v>
      </x:c>
    </x:row>
    <x:row r="190">
      <x:c r="A190" s="299" t="n">
        <x:v>2025</x:v>
      </x:c>
      <x:c r="B190" s="299" t="str">
        <x:v>New Mexico</x:v>
      </x:c>
      <x:c r="C190" s="299" t="str">
        <x:v>West</x:v>
      </x:c>
      <x:c r="D190" s="299" t="n">
        <x:v>2024</x:v>
      </x:c>
      <x:c r="E190" s="302" t="n">
        <x:v>2130256</x:v>
      </x:c>
      <x:c r="F190" s="305" t="n">
        <x:v>67816</x:v>
      </x:c>
      <x:c r="G190" s="308" t="n">
        <x:v>0.20149362330161258</x:v>
      </x:c>
      <x:c r="H190" s="308" t="n">
        <x:v>0.9064623032311516</x:v>
      </x:c>
      <x:c r="I190" s="302" t="n">
        <x:v>5688</x:v>
      </x:c>
      <x:c r="J190" s="302" t="n">
        <x:v>85571285</x:v>
      </x:c>
      <x:c r="K190" s="311" t="n">
        <x:f>I190/E190*100000</x:f>
        <x:v>267.0101621589142</x:v>
      </x:c>
      <x:c r="L190" s="314" t="n">
        <x:f>J190/E190</x:f>
        <x:v>40.16948432488865</x:v>
      </x:c>
      <x:c r="M190" s="305" t="n">
        <x:f>J190/I190</x:f>
        <x:v>15044.178094233474</x:v>
      </x:c>
      <x:c r="N190" s="299" t="str">
        <x:v>https://www.ic3.gov/AnnualReport/Reports/2025_IC3Report.pdf</x:v>
      </x:c>
      <x:c r="O190" s="299" t="str">
        <x:v>https://www.census.gov/programs-surveys/acs/data/summary-file.2024.html</x:v>
      </x:c>
    </x:row>
    <x:row r="191">
      <x:c r="A191" s="299" t="n">
        <x:v>2025</x:v>
      </x:c>
      <x:c r="B191" s="299" t="str">
        <x:v>North Carolina</x:v>
      </x:c>
      <x:c r="C191" s="299" t="str">
        <x:v>South</x:v>
      </x:c>
      <x:c r="D191" s="299" t="n">
        <x:v>2024</x:v>
      </x:c>
      <x:c r="E191" s="302" t="n">
        <x:v>11046024</x:v>
      </x:c>
      <x:c r="F191" s="305" t="n">
        <x:v>73958</x:v>
      </x:c>
      <x:c r="G191" s="308" t="n">
        <x:v>0.1793124838403393</x:v>
      </x:c>
      <x:c r="H191" s="308" t="n">
        <x:v>0.9324918228282039</x:v>
      </x:c>
      <x:c r="I191" s="302" t="n">
        <x:v>25940</x:v>
      </x:c>
      <x:c r="J191" s="302" t="n">
        <x:v>431561716</x:v>
      </x:c>
      <x:c r="K191" s="311" t="n">
        <x:f>I191/E191*100000</x:f>
        <x:v>234.835629544169</x:v>
      </x:c>
      <x:c r="L191" s="314" t="n">
        <x:f>J191/E191</x:f>
        <x:v>39.06941683269926</x:v>
      </x:c>
      <x:c r="M191" s="305" t="n">
        <x:f>J191/I191</x:f>
        <x:v>16636.92043176561</x:v>
      </x:c>
      <x:c r="N191" s="299" t="str">
        <x:v>https://www.ic3.gov/AnnualReport/Reports/2025_IC3Report.pdf</x:v>
      </x:c>
      <x:c r="O191" s="299" t="str">
        <x:v>https://www.census.gov/programs-surveys/acs/data/summary-file.2024.html</x:v>
      </x:c>
    </x:row>
    <x:row r="192">
      <x:c r="A192" s="299" t="n">
        <x:v>2025</x:v>
      </x:c>
      <x:c r="B192" s="299" t="str">
        <x:v>Michigan</x:v>
      </x:c>
      <x:c r="C192" s="299" t="str">
        <x:v>Midwest</x:v>
      </x:c>
      <x:c r="D192" s="299" t="n">
        <x:v>2024</x:v>
      </x:c>
      <x:c r="E192" s="302" t="n">
        <x:v>10140459</x:v>
      </x:c>
      <x:c r="F192" s="305" t="n">
        <x:v>72389</x:v>
      </x:c>
      <x:c r="G192" s="308" t="n">
        <x:v>0.19603244784087187</x:v>
      </x:c>
      <x:c r="H192" s="308" t="n">
        <x:v>0.9290079759764587</x:v>
      </x:c>
      <x:c r="I192" s="302" t="n">
        <x:v>22191</x:v>
      </x:c>
      <x:c r="J192" s="302" t="n">
        <x:v>381068131</x:v>
      </x:c>
      <x:c r="K192" s="311" t="n">
        <x:f>I192/E192*100000</x:f>
        <x:v>218.83624794498948</x:v>
      </x:c>
      <x:c r="L192" s="314" t="n">
        <x:f>J192/E192</x:f>
        <x:v>37.5789824701229</x:v>
      </x:c>
      <x:c r="M192" s="305" t="n">
        <x:f>J192/I192</x:f>
        <x:v>17172.192825920418</x:v>
      </x:c>
      <x:c r="N192" s="299" t="str">
        <x:v>https://www.ic3.gov/AnnualReport/Reports/2025_IC3Report.pdf</x:v>
      </x:c>
      <x:c r="O192" s="299" t="str">
        <x:v>https://www.census.gov/programs-surveys/acs/data/summary-file.2024.html</x:v>
      </x:c>
    </x:row>
    <x:row r="193">
      <x:c r="A193" s="299" t="n">
        <x:v>2025</x:v>
      </x:c>
      <x:c r="B193" s="299" t="str">
        <x:v>Missouri</x:v>
      </x:c>
      <x:c r="C193" s="299" t="str">
        <x:v>Midwest</x:v>
      </x:c>
      <x:c r="D193" s="299" t="n">
        <x:v>2024</x:v>
      </x:c>
      <x:c r="E193" s="302" t="n">
        <x:v>6245466</x:v>
      </x:c>
      <x:c r="F193" s="305" t="n">
        <x:v>71589</x:v>
      </x:c>
      <x:c r="G193" s="308" t="n">
        <x:v>0.18720796814841362</x:v>
      </x:c>
      <x:c r="H193" s="308" t="n">
        <x:v>0.9141591670554967</x:v>
      </x:c>
      <x:c r="I193" s="302" t="n">
        <x:v>14087</x:v>
      </x:c>
      <x:c r="J193" s="302" t="n">
        <x:v>233933401</x:v>
      </x:c>
      <x:c r="K193" s="311" t="n">
        <x:f>I193/E193*100000</x:f>
        <x:v>225.55562707410465</x:v>
      </x:c>
      <x:c r="L193" s="314" t="n">
        <x:f>J193/E193</x:f>
        <x:v>37.456516615413484</x:v>
      </x:c>
      <x:c r="M193" s="305" t="n">
        <x:f>J193/I193</x:f>
        <x:v>16606.33215020941</x:v>
      </x:c>
      <x:c r="N193" s="299" t="str">
        <x:v>https://www.ic3.gov/AnnualReport/Reports/2025_IC3Report.pdf</x:v>
      </x:c>
      <x:c r="O193" s="299" t="str">
        <x:v>https://www.census.gov/programs-surveys/acs/data/summary-file.2024.html</x:v>
      </x:c>
    </x:row>
    <x:row r="194">
      <x:c r="A194" s="299" t="n">
        <x:v>2025</x:v>
      </x:c>
      <x:c r="B194" s="299" t="str">
        <x:v>Tennessee</x:v>
      </x:c>
      <x:c r="C194" s="299" t="str">
        <x:v>South</x:v>
      </x:c>
      <x:c r="D194" s="299" t="n">
        <x:v>2024</x:v>
      </x:c>
      <x:c r="E194" s="302" t="n">
        <x:v>7227750</x:v>
      </x:c>
      <x:c r="F194" s="305" t="n">
        <x:v>71997</x:v>
      </x:c>
      <x:c r="G194" s="308" t="n">
        <x:v>0.17626218394382762</x:v>
      </x:c>
      <x:c r="H194" s="308" t="n">
        <x:v>0.9256522800566109</x:v>
      </x:c>
      <x:c r="I194" s="302" t="n">
        <x:v>16261</x:v>
      </x:c>
      <x:c r="J194" s="302" t="n">
        <x:v>269214519</x:v>
      </x:c>
      <x:c r="K194" s="311" t="n">
        <x:f>I194/E194*100000</x:f>
        <x:v>224.98011137629274</x:v>
      </x:c>
      <x:c r="L194" s="314" t="n">
        <x:f>J194/E194</x:f>
        <x:v>37.24734792985369</x:v>
      </x:c>
      <x:c r="M194" s="305" t="n">
        <x:f>J194/I194</x:f>
        <x:v>16555.840292724926</x:v>
      </x:c>
      <x:c r="N194" s="299" t="str">
        <x:v>https://www.ic3.gov/AnnualReport/Reports/2025_IC3Report.pdf</x:v>
      </x:c>
      <x:c r="O194" s="299" t="str">
        <x:v>https://www.census.gov/programs-surveys/acs/data/summary-file.2024.html</x:v>
      </x:c>
    </x:row>
    <x:row r="195">
      <x:c r="A195" s="299" t="n">
        <x:v>2025</x:v>
      </x:c>
      <x:c r="B195" s="299" t="str">
        <x:v>Nebraska</x:v>
      </x:c>
      <x:c r="C195" s="299" t="str">
        <x:v>Midwest</x:v>
      </x:c>
      <x:c r="D195" s="299" t="n">
        <x:v>2024</x:v>
      </x:c>
      <x:c r="E195" s="302" t="n">
        <x:v>2005466</x:v>
      </x:c>
      <x:c r="F195" s="305" t="n">
        <x:v>76376</x:v>
      </x:c>
      <x:c r="G195" s="308" t="n">
        <x:v>0.17355168324967862</x:v>
      </x:c>
      <x:c r="H195" s="308" t="n">
        <x:v>0.9205181477939641</x:v>
      </x:c>
      <x:c r="I195" s="302" t="n">
        <x:v>3724</x:v>
      </x:c>
      <x:c r="J195" s="302" t="n">
        <x:v>71844724</x:v>
      </x:c>
      <x:c r="K195" s="311" t="n">
        <x:f>I195/E195*100000</x:f>
        <x:v>185.6925023909655</x:v>
      </x:c>
      <x:c r="L195" s="314" t="n">
        <x:f>J195/E195</x:f>
        <x:v>35.82445376785246</x:v>
      </x:c>
      <x:c r="M195" s="305" t="n">
        <x:f>J195/I195</x:f>
        <x:v>19292.353383458645</x:v>
      </x:c>
      <x:c r="N195" s="299" t="str">
        <x:v>https://www.ic3.gov/AnnualReport/Reports/2025_IC3Report.pdf</x:v>
      </x:c>
      <x:c r="O195" s="299" t="str">
        <x:v>https://www.census.gov/programs-surveys/acs/data/summary-file.2024.html</x:v>
      </x:c>
    </x:row>
    <x:row r="196">
      <x:c r="A196" s="299" t="n">
        <x:v>2025</x:v>
      </x:c>
      <x:c r="B196" s="299" t="str">
        <x:v>Ohio</x:v>
      </x:c>
      <x:c r="C196" s="299" t="str">
        <x:v>Midwest</x:v>
      </x:c>
      <x:c r="D196" s="299" t="n">
        <x:v>2024</x:v>
      </x:c>
      <x:c r="E196" s="302" t="n">
        <x:v>11883304</x:v>
      </x:c>
      <x:c r="F196" s="305" t="n">
        <x:v>72212</x:v>
      </x:c>
      <x:c r="G196" s="308" t="n">
        <x:v>0.1911418743474037</x:v>
      </x:c>
      <x:c r="H196" s="308" t="n">
        <x:v>0.9233129830025306</x:v>
      </x:c>
      <x:c r="I196" s="302" t="n">
        <x:v>27626</x:v>
      </x:c>
      <x:c r="J196" s="302" t="n">
        <x:v>421289526</x:v>
      </x:c>
      <x:c r="K196" s="311" t="n">
        <x:f>I196/E196*100000</x:f>
        <x:v>232.4774322023572</x:v>
      </x:c>
      <x:c r="L196" s="314" t="n">
        <x:f>J196/E196</x:f>
        <x:v>35.45222153704054</x:v>
      </x:c>
      <x:c r="M196" s="305" t="n">
        <x:f>J196/I196</x:f>
        <x:v>15249.747556649532</x:v>
      </x:c>
      <x:c r="N196" s="299" t="str">
        <x:v>https://www.ic3.gov/AnnualReport/Reports/2025_IC3Report.pdf</x:v>
      </x:c>
      <x:c r="O196" s="299" t="str">
        <x:v>https://www.census.gov/programs-surveys/acs/data/summary-file.2024.html</x:v>
      </x:c>
    </x:row>
    <x:row r="197">
      <x:c r="A197" s="299" t="n">
        <x:v>2025</x:v>
      </x:c>
      <x:c r="B197" s="299" t="str">
        <x:v>Indiana</x:v>
      </x:c>
      <x:c r="C197" s="299" t="str">
        <x:v>Midwest</x:v>
      </x:c>
      <x:c r="D197" s="299" t="n">
        <x:v>2024</x:v>
      </x:c>
      <x:c r="E197" s="302" t="n">
        <x:v>6924275</x:v>
      </x:c>
      <x:c r="F197" s="305" t="n">
        <x:v>71959</x:v>
      </x:c>
      <x:c r="G197" s="308" t="n">
        <x:v>0.17596080456076627</x:v>
      </x:c>
      <x:c r="H197" s="308" t="n">
        <x:v>0.9208502408636288</x:v>
      </x:c>
      <x:c r="I197" s="302" t="n">
        <x:v>20777</x:v>
      </x:c>
      <x:c r="J197" s="302" t="n">
        <x:v>233016771</x:v>
      </x:c>
      <x:c r="K197" s="311" t="n">
        <x:f>I197/E197*100000</x:f>
        <x:v>300.06029512114986</x:v>
      </x:c>
      <x:c r="L197" s="314" t="n">
        <x:f>J197/E197</x:f>
        <x:v>33.6521543410682</x:v>
      </x:c>
      <x:c r="M197" s="305" t="n">
        <x:f>J197/I197</x:f>
        <x:v>11215.130721470858</x:v>
      </x:c>
      <x:c r="N197" s="299" t="str">
        <x:v>https://www.ic3.gov/AnnualReport/Reports/2025_IC3Report.pdf</x:v>
      </x:c>
      <x:c r="O197" s="299" t="str">
        <x:v>https://www.census.gov/programs-surveys/acs/data/summary-file.2024.html</x:v>
      </x:c>
    </x:row>
    <x:row r="198">
      <x:c r="A198" s="299" t="n">
        <x:v>2025</x:v>
      </x:c>
      <x:c r="B198" s="299" t="str">
        <x:v>Arkansas</x:v>
      </x:c>
      <x:c r="C198" s="299" t="str">
        <x:v>South</x:v>
      </x:c>
      <x:c r="D198" s="299" t="n">
        <x:v>2024</x:v>
      </x:c>
      <x:c r="E198" s="302" t="n">
        <x:v>3088354</x:v>
      </x:c>
      <x:c r="F198" s="305" t="n">
        <x:v>62106</x:v>
      </x:c>
      <x:c r="G198" s="308" t="n">
        <x:v>0.18220288218254774</x:v>
      </x:c>
      <x:c r="H198" s="308" t="n">
        <x:v>0.9089363258509698</x:v>
      </x:c>
      <x:c r="I198" s="302" t="n">
        <x:v>6161</x:v>
      </x:c>
      <x:c r="J198" s="302" t="n">
        <x:v>102541947</x:v>
      </x:c>
      <x:c r="K198" s="311" t="n">
        <x:f>I198/E198*100000</x:f>
        <x:v>199.4913795504013</x:v>
      </x:c>
      <x:c r="L198" s="314" t="n">
        <x:f>J198/E198</x:f>
        <x:v>33.202782776844884</x:v>
      </x:c>
      <x:c r="M198" s="305" t="n">
        <x:f>J198/I198</x:f>
        <x:v>16643.718065249148</x:v>
      </x:c>
      <x:c r="N198" s="299" t="str">
        <x:v>https://www.ic3.gov/AnnualReport/Reports/2025_IC3Report.pdf</x:v>
      </x:c>
      <x:c r="O198" s="299" t="str">
        <x:v>https://www.census.gov/programs-surveys/acs/data/summary-file.2024.html</x:v>
      </x:c>
    </x:row>
    <x:row r="199">
      <x:c r="A199" s="299" t="n">
        <x:v>2025</x:v>
      </x:c>
      <x:c r="B199" s="299" t="str">
        <x:v>Wisconsin</x:v>
      </x:c>
      <x:c r="C199" s="299" t="str">
        <x:v>Midwest</x:v>
      </x:c>
      <x:c r="D199" s="299" t="n">
        <x:v>2024</x:v>
      </x:c>
      <x:c r="E199" s="302" t="n">
        <x:v>5960975</x:v>
      </x:c>
      <x:c r="F199" s="305" t="n">
        <x:v>77488</x:v>
      </x:c>
      <x:c r="G199" s="308" t="n">
        <x:v>0.19645141944061165</x:v>
      </x:c>
      <x:c r="H199" s="308" t="n">
        <x:v>0.9248776624153223</x:v>
      </x:c>
      <x:c r="I199" s="302" t="n">
        <x:v>16680</x:v>
      </x:c>
      <x:c r="J199" s="302" t="n">
        <x:v>194227722</x:v>
      </x:c>
      <x:c r="K199" s="311" t="n">
        <x:f>I199/E199*100000</x:f>
        <x:v>279.8199958899341</x:v>
      </x:c>
      <x:c r="L199" s="314" t="n">
        <x:f>J199/E199</x:f>
        <x:v>32.583213652129054</x:v>
      </x:c>
      <x:c r="M199" s="305" t="n">
        <x:f>J199/I199</x:f>
        <x:v>11644.347841726618</x:v>
      </x:c>
      <x:c r="N199" s="299" t="str">
        <x:v>https://www.ic3.gov/AnnualReport/Reports/2025_IC3Report.pdf</x:v>
      </x:c>
      <x:c r="O199" s="299" t="str">
        <x:v>https://www.census.gov/programs-surveys/acs/data/summary-file.2024.html</x:v>
      </x:c>
    </x:row>
    <x:row r="200">
      <x:c r="A200" s="299" t="n">
        <x:v>2025</x:v>
      </x:c>
      <x:c r="B200" s="299" t="str">
        <x:v>Alabama</x:v>
      </x:c>
      <x:c r="C200" s="299" t="str">
        <x:v>South</x:v>
      </x:c>
      <x:c r="D200" s="299" t="n">
        <x:v>2024</x:v>
      </x:c>
      <x:c r="E200" s="302" t="n">
        <x:v>5157699</x:v>
      </x:c>
      <x:c r="F200" s="305" t="n">
        <x:v>66659</x:v>
      </x:c>
      <x:c r="G200" s="308" t="n">
        <x:v>0.18519227275573855</x:v>
      </x:c>
      <x:c r="H200" s="308" t="n">
        <x:v>0.9174097171779165</x:v>
      </x:c>
      <x:c r="I200" s="302" t="n">
        <x:v>9936</x:v>
      </x:c>
      <x:c r="J200" s="302" t="n">
        <x:v>167212658</x:v>
      </x:c>
      <x:c r="K200" s="311" t="n">
        <x:f>I200/E200*100000</x:f>
        <x:v>192.6440453388226</x:v>
      </x:c>
      <x:c r="L200" s="314" t="n">
        <x:f>J200/E200</x:f>
        <x:v>32.42001093898655</x:v>
      </x:c>
      <x:c r="M200" s="305" t="n">
        <x:f>J200/I200</x:f>
        <x:v>16828.971215781</x:v>
      </x:c>
      <x:c r="N200" s="299" t="str">
        <x:v>https://www.ic3.gov/AnnualReport/Reports/2025_IC3Report.pdf</x:v>
      </x:c>
      <x:c r="O200" s="299" t="str">
        <x:v>https://www.census.gov/programs-surveys/acs/data/summary-file.2024.html</x:v>
      </x:c>
    </x:row>
    <x:row r="201">
      <x:c r="A201" s="299" t="n">
        <x:v>2025</x:v>
      </x:c>
      <x:c r="B201" s="299" t="str">
        <x:v>Oklahoma</x:v>
      </x:c>
      <x:c r="C201" s="299" t="str">
        <x:v>South</x:v>
      </x:c>
      <x:c r="D201" s="299" t="n">
        <x:v>2024</x:v>
      </x:c>
      <x:c r="E201" s="302" t="n">
        <x:v>4095393</x:v>
      </x:c>
      <x:c r="F201" s="305" t="n">
        <x:v>66148</x:v>
      </x:c>
      <x:c r="G201" s="308" t="n">
        <x:v>0.16899013110585479</x:v>
      </x:c>
      <x:c r="H201" s="308" t="n">
        <x:v>0.9223051252441157</x:v>
      </x:c>
      <x:c r="I201" s="302" t="n">
        <x:v>11964</x:v>
      </x:c>
      <x:c r="J201" s="302" t="n">
        <x:v>131921776</x:v>
      </x:c>
      <x:c r="K201" s="311" t="n">
        <x:f>I201/E201*100000</x:f>
        <x:v>292.13313594079983</x:v>
      </x:c>
      <x:c r="L201" s="314" t="n">
        <x:f>J201/E201</x:f>
        <x:v>32.212238483583874</x:v>
      </x:c>
      <x:c r="M201" s="305" t="n">
        <x:f>J201/I201</x:f>
        <x:v>11026.56101638248</x:v>
      </x:c>
      <x:c r="N201" s="299" t="str">
        <x:v>https://www.ic3.gov/AnnualReport/Reports/2025_IC3Report.pdf</x:v>
      </x:c>
      <x:c r="O201" s="299" t="str">
        <x:v>https://www.census.gov/programs-surveys/acs/data/summary-file.2024.html</x:v>
      </x:c>
    </x:row>
    <x:row r="202">
      <x:c r="A202" s="299" t="n">
        <x:v>2025</x:v>
      </x:c>
      <x:c r="B202" s="299" t="str">
        <x:v>Iowa</x:v>
      </x:c>
      <x:c r="C202" s="299" t="str">
        <x:v>Midwest</x:v>
      </x:c>
      <x:c r="D202" s="299" t="n">
        <x:v>2024</x:v>
      </x:c>
      <x:c r="E202" s="302" t="n">
        <x:v>3241488</x:v>
      </x:c>
      <x:c r="F202" s="305" t="n">
        <x:v>75501</x:v>
      </x:c>
      <x:c r="G202" s="308" t="n">
        <x:v>0.18898820541677158</x:v>
      </x:c>
      <x:c r="H202" s="308" t="n">
        <x:v>0.909075480377722</x:v>
      </x:c>
      <x:c r="I202" s="302" t="n">
        <x:v>5436</x:v>
      </x:c>
      <x:c r="J202" s="302" t="n">
        <x:v>95520131</x:v>
      </x:c>
      <x:c r="K202" s="311" t="n">
        <x:f>I202/E202*100000</x:f>
        <x:v>167.70075965112318</x:v>
      </x:c>
      <x:c r="L202" s="314" t="n">
        <x:f>J202/E202</x:f>
        <x:v>29.46798846702502</x:v>
      </x:c>
      <x:c r="M202" s="305" t="n">
        <x:f>J202/I202</x:f>
        <x:v>17571.768027961738</x:v>
      </x:c>
      <x:c r="N202" s="299" t="str">
        <x:v>https://www.ic3.gov/AnnualReport/Reports/2025_IC3Report.pdf</x:v>
      </x:c>
      <x:c r="O202" s="299" t="str">
        <x:v>https://www.census.gov/programs-surveys/acs/data/summary-file.2024.html</x:v>
      </x:c>
    </x:row>
    <x:row r="203">
      <x:c r="A203" s="299" t="n">
        <x:v>2025</x:v>
      </x:c>
      <x:c r="B203" s="299" t="str">
        <x:v>Mississippi</x:v>
      </x:c>
      <x:c r="C203" s="299" t="str">
        <x:v>South</x:v>
      </x:c>
      <x:c r="D203" s="299" t="n">
        <x:v>2024</x:v>
      </x:c>
      <x:c r="E203" s="302" t="n">
        <x:v>2943045</x:v>
      </x:c>
      <x:c r="F203" s="305" t="n">
        <x:v>59127</x:v>
      </x:c>
      <x:c r="G203" s="308" t="n">
        <x:v>0.18054328085367366</x:v>
      </x:c>
      <x:c r="H203" s="308" t="n">
        <x:v>0.8839345961978091</x:v>
      </x:c>
      <x:c r="I203" s="302" t="n">
        <x:v>5084</x:v>
      </x:c>
      <x:c r="J203" s="302" t="n">
        <x:v>77360761</x:v>
      </x:c>
      <x:c r="K203" s="311" t="n">
        <x:f>I203/E203*100000</x:f>
        <x:v>172.74625430464027</x:v>
      </x:c>
      <x:c r="L203" s="314" t="n">
        <x:f>J203/E203</x:f>
        <x:v>26.285959270075722</x:v>
      </x:c>
      <x:c r="M203" s="305" t="n">
        <x:f>J203/I203</x:f>
        <x:v>15216.51475216365</x:v>
      </x:c>
      <x:c r="N203" s="299" t="str">
        <x:v>https://www.ic3.gov/AnnualReport/Reports/2025_IC3Report.pdf</x:v>
      </x:c>
      <x:c r="O203" s="299" t="str">
        <x:v>https://www.census.gov/programs-surveys/acs/data/summary-file.2024.html</x:v>
      </x:c>
    </x:row>
    <x:row r="204">
      <x:c r="A204" s="299" t="n">
        <x:v>2025</x:v>
      </x:c>
      <x:c r="B204" s="299" t="str">
        <x:v>Kentucky</x:v>
      </x:c>
      <x:c r="C204" s="299" t="str">
        <x:v>South</x:v>
      </x:c>
      <x:c r="D204" s="299" t="n">
        <x:v>2024</x:v>
      </x:c>
      <x:c r="E204" s="302" t="n">
        <x:v>4588372</x:v>
      </x:c>
      <x:c r="F204" s="305" t="n">
        <x:v>64526</x:v>
      </x:c>
      <x:c r="G204" s="308" t="n">
        <x:v>0.17998758601089887</x:v>
      </x:c>
      <x:c r="H204" s="308" t="n">
        <x:v>0.9093556749663353</x:v>
      </x:c>
      <x:c r="I204" s="302" t="n">
        <x:v>9414</x:v>
      </x:c>
      <x:c r="J204" s="302" t="n">
        <x:v>119685861</x:v>
      </x:c>
      <x:c r="K204" s="311" t="n">
        <x:f>I204/E204*100000</x:f>
        <x:v>205.1708100389419</x:v>
      </x:c>
      <x:c r="L204" s="314" t="n">
        <x:f>J204/E204</x:f>
        <x:v>26.084602774142986</x:v>
      </x:c>
      <x:c r="M204" s="305" t="n">
        <x:f>J204/I204</x:f>
        <x:v>12713.603250478012</x:v>
      </x:c>
      <x:c r="N204" s="299" t="str">
        <x:v>https://www.ic3.gov/AnnualReport/Reports/2025_IC3Report.pdf</x:v>
      </x:c>
      <x:c r="O204" s="299" t="str">
        <x:v>https://www.census.gov/programs-surveys/acs/data/summary-file.2024.html</x:v>
      </x:c>
    </x:row>
    <x:row r="205">
      <x:c r="A205" s="300" t="n">
        <x:v>2025</x:v>
      </x:c>
      <x:c r="B205" s="300" t="str">
        <x:v>Louisiana</x:v>
      </x:c>
      <x:c r="C205" s="300" t="str">
        <x:v>South</x:v>
      </x:c>
      <x:c r="D205" s="300" t="n">
        <x:v>2024</x:v>
      </x:c>
      <x:c r="E205" s="303" t="n">
        <x:v>4597740</x:v>
      </x:c>
      <x:c r="F205" s="306" t="n">
        <x:v>60986</x:v>
      </x:c>
      <x:c r="G205" s="309" t="n">
        <x:v>0.17831891320518342</x:v>
      </x:c>
      <x:c r="H205" s="309" t="n">
        <x:v>0.9054714394269225</x:v>
      </x:c>
      <x:c r="I205" s="303" t="n">
        <x:v>8623</x:v>
      </x:c>
      <x:c r="J205" s="303" t="n">
        <x:v>105440238</x:v>
      </x:c>
      <x:c r="K205" s="312" t="n">
        <x:f>I205/E205*100000</x:f>
        <x:v>187.54866521377895</x:v>
      </x:c>
      <x:c r="L205" s="315" t="n">
        <x:f>J205/E205</x:f>
        <x:v>22.933057980660063</x:v>
      </x:c>
      <x:c r="M205" s="306" t="n">
        <x:f>J205/I205</x:f>
        <x:v>12227.790560129884</x:v>
      </x:c>
      <x:c r="N205" s="300" t="str">
        <x:v>https://www.ic3.gov/AnnualReport/Reports/2025_IC3Report.pdf</x:v>
      </x:c>
      <x:c r="O205" s="300" t="str">
        <x:v>https://www.census.gov/programs-surveys/acs/data/summary-file.2024.html</x:v>
      </x:c>
    </x:row>
  </x:sheetData>
  <x:pageMargins left="0.7" right="0.7" top="0.75" bottom="0.75" header="0.3" footer="0.3"/>
  <x:tableParts count="1">
    <x:tablePart xmlns:r="http://schemas.openxmlformats.org/officeDocument/2006/relationships" r:id="R4d9aa9fb2b4a4a1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5" hidden="0" customWidth="1"/>
    <x:col min="2" max="2" width="42" hidden="0" customWidth="1"/>
    <x:col min="3" max="3" width="14" hidden="0" customWidth="1"/>
    <x:col min="4" max="4" width="14" hidden="0" customWidth="1"/>
    <x:col min="5" max="5" width="14" hidden="0" customWidth="1"/>
    <x:col min="6" max="6" width="14" hidden="0" customWidth="1"/>
  </x:cols>
  <x:sheetData>
    <x:row r="1">
      <x:c r="A1" s="259" t="str">
        <x:v>Panel models and robustness checks</x:v>
      </x:c>
      <x:c r="B1" s="259"/>
      <x:c r="C1" s="259"/>
      <x:c r="D1" s="259"/>
      <x:c r="E1" s="259"/>
      <x:c r="F1" s="259"/>
    </x:row>
    <x:row r="2">
      <x:c r="A2" s="259"/>
      <x:c r="B2" s="259"/>
      <x:c r="C2" s="259"/>
      <x:c r="D2" s="259"/>
      <x:c r="E2" s="259"/>
      <x:c r="F2" s="259"/>
    </x:row>
    <x:row r="3">
      <x:c r="A3" s="261" t="str">
        <x:v>Pooled specifications include year fixed effects. Two-way fixed-effects specifications include state and year indicators. Covariates are lagged one year. Standard errors are HC1 robust; p-values use a normal approximation.</x:v>
      </x:c>
      <x:c r="B3" s="261"/>
      <x:c r="C3" s="261"/>
      <x:c r="D3" s="261"/>
      <x:c r="E3" s="261"/>
      <x:c r="F3" s="261"/>
    </x:row>
    <x:row r="4">
      <x:c r="A4" s="261"/>
      <x:c r="B4" s="261"/>
      <x:c r="C4" s="261"/>
      <x:c r="D4" s="261"/>
      <x:c r="E4" s="261"/>
      <x:c r="F4" s="261"/>
    </x:row>
    <x:row r="6">
      <x:c r="A6" s="262" t="str">
        <x:v>Model</x:v>
      </x:c>
      <x:c r="B6" s="262" t="str">
        <x:v>Regressor</x:v>
      </x:c>
      <x:c r="C6" s="262" t="str">
        <x:v>Coefficient</x:v>
      </x:c>
      <x:c r="D6" s="262" t="str">
        <x:v>Robust SE</x:v>
      </x:c>
      <x:c r="E6" s="262" t="str">
        <x:v>t statistic</x:v>
      </x:c>
      <x:c r="F6" s="262" t="str">
        <x:v>Approx. p-value</x:v>
      </x:c>
    </x:row>
    <x:row r="7">
      <x:c r="A7" t="str">
        <x:v>Pooled + year FE: loss_per_capita</x:v>
      </x:c>
      <x:c r="B7" t="str">
        <x:v>Log median household income (lagged)</x:v>
      </x:c>
      <x:c r="C7" s="263" t="n">
        <x:v>1.5520256980098197</x:v>
      </x:c>
      <x:c r="D7" s="263" t="n">
        <x:v>0.42997311584766984</x:v>
      </x:c>
      <x:c r="E7" s="263" t="n">
        <x:v>3.609587764458438</x:v>
      </x:c>
      <x:c r="F7" s="264" t="n">
        <x:v>0.0003066839997132309</x:v>
      </x:c>
    </x:row>
    <x:row r="8">
      <x:c r="A8" t="str">
        <x:v>Pooled + year FE: loss_per_capita</x:v>
      </x:c>
      <x:c r="B8" t="str">
        <x:v>Age 65+ share (pp lagged)</x:v>
      </x:c>
      <x:c r="C8" s="263" t="n">
        <x:v>-0.02820056503427315</x:v>
      </x:c>
      <x:c r="D8" s="263" t="n">
        <x:v>0.013149905791927966</x:v>
      </x:c>
      <x:c r="E8" s="263" t="n">
        <x:v>-2.144545024161617</x:v>
      </x:c>
      <x:c r="F8" s="264" t="n">
        <x:v>0.03198924188135788</x:v>
      </x:c>
    </x:row>
    <x:row r="9">
      <x:c r="A9" t="str">
        <x:v>Pooled + year FE: loss_per_capita</x:v>
      </x:c>
      <x:c r="B9" t="str">
        <x:v>Internet household share (pp lagged)</x:v>
      </x:c>
      <x:c r="C9" s="263" t="n">
        <x:v>0.012107441683922637</x:v>
      </x:c>
      <x:c r="D9" s="263" t="n">
        <x:v>0.03390959167509374</x:v>
      </x:c>
      <x:c r="E9" s="263" t="n">
        <x:v>0.3570506480859642</x:v>
      </x:c>
      <x:c r="F9" s="264" t="n">
        <x:v>0.7210538896075416</x:v>
      </x:c>
    </x:row>
    <x:row r="10">
      <x:c r="A10" t="str">
        <x:v>State + year FE: loss_per_capita</x:v>
      </x:c>
      <x:c r="B10" t="str">
        <x:v>Log median household income (lagged)</x:v>
      </x:c>
      <x:c r="C10" s="263" t="n">
        <x:v>2.188362001717393</x:v>
      </x:c>
      <x:c r="D10" s="263" t="n">
        <x:v>2.0269134836643494</x:v>
      </x:c>
      <x:c r="E10" s="263" t="n">
        <x:v>1.079652397280011</x:v>
      </x:c>
      <x:c r="F10" s="264" t="n">
        <x:v>0.28029699915653383</x:v>
      </x:c>
    </x:row>
    <x:row r="11">
      <x:c r="A11" t="str">
        <x:v>State + year FE: loss_per_capita</x:v>
      </x:c>
      <x:c r="B11" t="str">
        <x:v>Age 65+ share (pp lagged)</x:v>
      </x:c>
      <x:c r="C11" s="263" t="n">
        <x:v>-0.01835230289844325</x:v>
      </x:c>
      <x:c r="D11" s="263" t="n">
        <x:v>0.12102853012174988</x:v>
      </x:c>
      <x:c r="E11" s="263" t="n">
        <x:v>-0.15163617107455213</x:v>
      </x:c>
      <x:c r="F11" s="264" t="n">
        <x:v>0.8794739028874021</x:v>
      </x:c>
    </x:row>
    <x:row r="12">
      <x:c r="A12" t="str">
        <x:v>State + year FE: loss_per_capita</x:v>
      </x:c>
      <x:c r="B12" t="str">
        <x:v>Internet household share (pp lagged)</x:v>
      </x:c>
      <x:c r="C12" s="263" t="n">
        <x:v>-0.03447401314612786</x:v>
      </x:c>
      <x:c r="D12" s="263" t="n">
        <x:v>0.04228902694323017</x:v>
      </x:c>
      <x:c r="E12" s="263" t="n">
        <x:v>-0.8151999617396405</x:v>
      </x:c>
      <x:c r="F12" s="264" t="n">
        <x:v>0.4149578597786312</x:v>
      </x:c>
    </x:row>
    <x:row r="13">
      <x:c r="A13" t="str">
        <x:v>Pooled + year FE: complaints_per_100k</x:v>
      </x:c>
      <x:c r="B13" t="str">
        <x:v>Log median household income (lagged)</x:v>
      </x:c>
      <x:c r="C13" s="263" t="n">
        <x:v>0.3883570099932649</x:v>
      </x:c>
      <x:c r="D13" s="263" t="n">
        <x:v>0.2782399046538943</x:v>
      </x:c>
      <x:c r="E13" s="263" t="n">
        <x:v>1.3957631651590252</x:v>
      </x:c>
      <x:c r="F13" s="264" t="n">
        <x:v>0.16278582600427116</x:v>
      </x:c>
    </x:row>
    <x:row r="14">
      <x:c r="A14" t="str">
        <x:v>Pooled + year FE: complaints_per_100k</x:v>
      </x:c>
      <x:c r="B14" t="str">
        <x:v>Age 65+ share (pp lagged)</x:v>
      </x:c>
      <x:c r="C14" s="263" t="n">
        <x:v>-0.03029568057084804</x:v>
      </x:c>
      <x:c r="D14" s="263" t="n">
        <x:v>0.011897639620406481</x:v>
      </x:c>
      <x:c r="E14" s="263" t="n">
        <x:v>-2.5463605838998333</x:v>
      </x:c>
      <x:c r="F14" s="264" t="n">
        <x:v>0.010885268293134853</x:v>
      </x:c>
    </x:row>
    <x:row r="15">
      <x:c r="A15" t="str">
        <x:v>Pooled + year FE: complaints_per_100k</x:v>
      </x:c>
      <x:c r="B15" t="str">
        <x:v>Internet household share (pp lagged)</x:v>
      </x:c>
      <x:c r="C15" s="263" t="n">
        <x:v>0.0395078907613336</x:v>
      </x:c>
      <x:c r="D15" s="263" t="n">
        <x:v>0.021310470471614835</x:v>
      </x:c>
      <x:c r="E15" s="263" t="n">
        <x:v>1.8539192184404094</x:v>
      </x:c>
      <x:c r="F15" s="264" t="n">
        <x:v>0.06375071795222587</x:v>
      </x:c>
    </x:row>
    <x:row r="16">
      <x:c r="A16" t="str">
        <x:v>State + year FE: complaints_per_100k</x:v>
      </x:c>
      <x:c r="B16" t="str">
        <x:v>Log median household income (lagged)</x:v>
      </x:c>
      <x:c r="C16" s="263" t="n">
        <x:v>-0.9516959645711549</x:v>
      </x:c>
      <x:c r="D16" s="263" t="n">
        <x:v>1.1766614839673388</x:v>
      </x:c>
      <x:c r="E16" s="263" t="n">
        <x:v>-0.808810331211259</x:v>
      </x:c>
      <x:c r="F16" s="264" t="n">
        <x:v>0.4186242527433084</x:v>
      </x:c>
    </x:row>
    <x:row r="17">
      <x:c r="A17" t="str">
        <x:v>State + year FE: complaints_per_100k</x:v>
      </x:c>
      <x:c r="B17" t="str">
        <x:v>Age 65+ share (pp lagged)</x:v>
      </x:c>
      <x:c r="C17" s="263" t="n">
        <x:v>0.038550284077529584</x:v>
      </x:c>
      <x:c r="D17" s="263" t="n">
        <x:v>0.10549239592749987</x:v>
      </x:c>
      <x:c r="E17" s="263" t="n">
        <x:v>0.3654318753365261</x:v>
      </x:c>
      <x:c r="F17" s="264" t="n">
        <x:v>0.714789050971711</x:v>
      </x:c>
    </x:row>
    <x:row r="18">
      <x:c r="A18" t="str">
        <x:v>State + year FE: complaints_per_100k</x:v>
      </x:c>
      <x:c r="B18" t="str">
        <x:v>Internet household share (pp lagged)</x:v>
      </x:c>
      <x:c r="C18" s="263" t="n">
        <x:v>0.02359045044321506</x:v>
      </x:c>
      <x:c r="D18" s="263" t="n">
        <x:v>0.021681094436474473</x:v>
      </x:c>
      <x:c r="E18" s="263" t="n">
        <x:v>1.0880654808425374</x:v>
      </x:c>
      <x:c r="F18" s="264" t="n">
        <x:v>0.27656620126062714</x:v>
      </x:c>
    </x:row>
    <x:row r="19">
      <x:c r="A19" t="str">
        <x:v>Pooled + year FE: loss_per_complaint</x:v>
      </x:c>
      <x:c r="B19" t="str">
        <x:v>Log median household income (lagged)</x:v>
      </x:c>
      <x:c r="C19" s="263" t="n">
        <x:v>1.1636686880165568</x:v>
      </x:c>
      <x:c r="D19" s="263" t="n">
        <x:v>0.2995530610018298</x:v>
      </x:c>
      <x:c r="E19" s="263" t="n">
        <x:v>3.8846830145042266</x:v>
      </x:c>
      <x:c r="F19" s="264" t="n">
        <x:v>0.00010246348476905531</x:v>
      </x:c>
    </x:row>
    <x:row r="20">
      <x:c r="A20" t="str">
        <x:v>Pooled + year FE: loss_per_complaint</x:v>
      </x:c>
      <x:c r="B20" t="str">
        <x:v>Age 65+ share (pp lagged)</x:v>
      </x:c>
      <x:c r="C20" s="263" t="n">
        <x:v>0.0020951155365754315</x:v>
      </x:c>
      <x:c r="D20" s="263" t="n">
        <x:v>0.01269388169362318</x:v>
      </x:c>
      <x:c r="E20" s="263" t="n">
        <x:v>0.1650492408187419</x:v>
      </x:c>
      <x:c r="F20" s="264" t="n">
        <x:v>0.868905224915492</x:v>
      </x:c>
    </x:row>
    <x:row r="21">
      <x:c r="A21" t="str">
        <x:v>Pooled + year FE: loss_per_complaint</x:v>
      </x:c>
      <x:c r="B21" t="str">
        <x:v>Internet household share (pp lagged)</x:v>
      </x:c>
      <x:c r="C21" s="263" t="n">
        <x:v>-0.027400449077410682</x:v>
      </x:c>
      <x:c r="D21" s="263" t="n">
        <x:v>0.023882257091126586</x:v>
      </x:c>
      <x:c r="E21" s="263" t="n">
        <x:v>-1.147314048787762</x:v>
      </x:c>
      <x:c r="F21" s="264" t="n">
        <x:v>0.2512518497897376</x:v>
      </x:c>
    </x:row>
    <x:row r="22">
      <x:c r="A22" t="str">
        <x:v>State + year FE: loss_per_complaint</x:v>
      </x:c>
      <x:c r="B22" t="str">
        <x:v>Log median household income (lagged)</x:v>
      </x:c>
      <x:c r="C22" s="263" t="n">
        <x:v>3.140057966288559</x:v>
      </x:c>
      <x:c r="D22" s="263" t="n">
        <x:v>2.045753537687329</x:v>
      </x:c>
      <x:c r="E22" s="263" t="n">
        <x:v>1.5349150855377784</x:v>
      </x:c>
      <x:c r="F22" s="264" t="n">
        <x:v>0.12480468746026818</x:v>
      </x:c>
    </x:row>
    <x:row r="23">
      <x:c r="A23" t="str">
        <x:v>State + year FE: loss_per_complaint</x:v>
      </x:c>
      <x:c r="B23" t="str">
        <x:v>Age 65+ share (pp lagged)</x:v>
      </x:c>
      <x:c r="C23" s="263" t="n">
        <x:v>-0.05690258697597406</x:v>
      </x:c>
      <x:c r="D23" s="263" t="n">
        <x:v>0.12399279297755147</x:v>
      </x:c>
      <x:c r="E23" s="263" t="n">
        <x:v>-0.45891850332201245</x:v>
      </x:c>
      <x:c r="F23" s="264" t="n">
        <x:v>0.6462926907908739</x:v>
      </x:c>
    </x:row>
    <x:row r="24">
      <x:c r="A24" t="str">
        <x:v>State + year FE: loss_per_complaint</x:v>
      </x:c>
      <x:c r="B24" t="str">
        <x:v>Internet household share (pp lagged)</x:v>
      </x:c>
      <x:c r="C24" s="263" t="n">
        <x:v>-0.05806446358934436</x:v>
      </x:c>
      <x:c r="D24" s="263" t="n">
        <x:v>0.04363967414618561</x:v>
      </x:c>
      <x:c r="E24" s="263" t="n">
        <x:v>-1.3305430144789376</x:v>
      </x:c>
      <x:c r="F24" s="264" t="n">
        <x:v>0.18333942379837986</x:v>
      </x:c>
    </x:row>
    <x:row r="25">
      <x:c r="A25" t="str">
        <x:v>Robustness Exclude DC: loss_per_capita</x:v>
      </x:c>
      <x:c r="B25" t="str">
        <x:v>Log median household income (lagged)</x:v>
      </x:c>
      <x:c r="C25" s="263" t="n">
        <x:v>0.8866791427013462</x:v>
      </x:c>
      <x:c r="D25" s="263" t="n">
        <x:v>0.2494038189224323</x:v>
      </x:c>
      <x:c r="E25" s="263" t="n">
        <x:v>3.5551947301060154</x:v>
      </x:c>
      <x:c r="F25" s="264" t="n">
        <x:v>0.0003776992489352704</x:v>
      </x:c>
    </x:row>
    <x:row r="26">
      <x:c r="A26" t="str">
        <x:v>Robustness Exclude DC: loss_per_capita</x:v>
      </x:c>
      <x:c r="B26" t="str">
        <x:v>Age 65+ share (pp lagged)</x:v>
      </x:c>
      <x:c r="C26" s="263" t="n">
        <x:v>-0.011231870284946377</x:v>
      </x:c>
      <x:c r="D26" s="263" t="n">
        <x:v>0.010443415178262699</x:v>
      </x:c>
      <x:c r="E26" s="263" t="n">
        <x:v>-1.0754978226207836</x:v>
      </x:c>
      <x:c r="F26" s="264" t="n">
        <x:v>0.2821519065258298</x:v>
      </x:c>
    </x:row>
    <x:row r="27">
      <x:c r="A27" t="str">
        <x:v>Robustness Exclude DC: loss_per_capita</x:v>
      </x:c>
      <x:c r="B27" t="str">
        <x:v>Internet household share (pp lagged)</x:v>
      </x:c>
      <x:c r="C27" s="263" t="n">
        <x:v>0.05796097893400132</x:v>
      </x:c>
      <x:c r="D27" s="263" t="n">
        <x:v>0.02347293925901522</x:v>
      </x:c>
      <x:c r="E27" s="263" t="n">
        <x:v>2.4692680492384573</x:v>
      </x:c>
      <x:c r="F27" s="264" t="n">
        <x:v>0.013538975964304978</x:v>
      </x:c>
    </x:row>
    <x:row r="28">
      <x:c r="A28" t="str">
        <x:v>Robustness Winsorized 2.5/97.5%: loss_per_capita</x:v>
      </x:c>
      <x:c r="B28" t="str">
        <x:v>Log median household income (lagged)</x:v>
      </x:c>
      <x:c r="C28" s="263" t="n">
        <x:v>1.1813040122064078</x:v>
      </x:c>
      <x:c r="D28" s="263" t="n">
        <x:v>0.23055904551026554</x:v>
      </x:c>
      <x:c r="E28" s="263" t="n">
        <x:v>5.123650688230364</x:v>
      </x:c>
      <x:c r="F28" s="264" t="n">
        <x:v>2.9967593850876995e-7</x:v>
      </x:c>
    </x:row>
    <x:row r="29">
      <x:c r="A29" t="str">
        <x:v>Robustness Winsorized 2.5/97.5%: loss_per_capita</x:v>
      </x:c>
      <x:c r="B29" t="str">
        <x:v>Age 65+ share (pp lagged)</x:v>
      </x:c>
      <x:c r="C29" s="263" t="n">
        <x:v>-0.018573575316807533</x:v>
      </x:c>
      <x:c r="D29" s="263" t="n">
        <x:v>0.010075593685619104</x:v>
      </x:c>
      <x:c r="E29" s="263" t="n">
        <x:v>-1.8434224221762336</x:v>
      </x:c>
      <x:c r="F29" s="264" t="n">
        <x:v>0.0652673588265873</x:v>
      </x:c>
    </x:row>
    <x:row r="30">
      <x:c r="A30" t="str">
        <x:v>Robustness Winsorized 2.5/97.5%: loss_per_capita</x:v>
      </x:c>
      <x:c r="B30" t="str">
        <x:v>Internet household share (pp lagged)</x:v>
      </x:c>
      <x:c r="C30" s="263" t="n">
        <x:v>0.03354546423995908</x:v>
      </x:c>
      <x:c r="D30" s="263" t="n">
        <x:v>0.021509297302519877</x:v>
      </x:c>
      <x:c r="E30" s="263" t="n">
        <x:v>1.5595797374574913</x:v>
      </x:c>
      <x:c r="F30" s="264" t="n">
        <x:v>0.11885922791991232</x:v>
      </x:c>
    </x:row>
  </x:sheetData>
  <x:mergeCells>
    <x:mergeCell ref="A1:F2"/>
    <x:mergeCell ref="A3:F4"/>
  </x:mergeCells>
  <x:conditionalFormatting sqref="F7:F30">
    <x:cfRule type="cellIs" dxfId="1" priority="1" operator="lessThan">
      <x:formula>0.05</x:formula>
    </x:cfRule>
  </x:conditionalFormatting>
  <x:pageMargins left="0.7" right="0.7" top="0.75" bottom="0.75" header="0.3" footer="0.3"/>
  <x:tableParts count="1">
    <x:tablePart xmlns:r="http://schemas.openxmlformats.org/officeDocument/2006/relationships" r:id="R68efd47c9c144a3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324" t="str">
        <x:v>SCAM GEOGRAPHY — INTERACTIVE ECONOMICS LAB</x:v>
      </x:c>
      <x:c r="B1" s="324"/>
      <x:c r="C1" s="324"/>
      <x:c r="D1" s="324"/>
      <x:c r="E1" s="324"/>
      <x:c r="F1" s="324"/>
      <x:c r="G1" s="324"/>
      <x:c r="H1" s="324"/>
      <x:c r="I1" s="324"/>
      <x:c r="J1" s="324"/>
      <x:c r="K1" s="324"/>
      <x:c r="L1" s="324"/>
      <x:c r="M1" s="324"/>
      <x:c r="N1" s="324"/>
    </x:row>
    <x:row r="2">
      <x:c r="A2" s="324"/>
      <x:c r="B2" s="324"/>
      <x:c r="C2" s="324"/>
      <x:c r="D2" s="324"/>
      <x:c r="E2" s="324"/>
      <x:c r="F2" s="324"/>
      <x:c r="G2" s="324"/>
      <x:c r="H2" s="324"/>
      <x:c r="I2" s="324"/>
      <x:c r="J2" s="324"/>
      <x:c r="K2" s="324"/>
      <x:c r="L2" s="324"/>
      <x:c r="M2" s="324"/>
      <x:c r="N2" s="324"/>
    </x:row>
    <x:row r="3">
      <x:c r="A3" s="6" t="str">
        <x:v>Change the yellow cells. Every result below updates from the 2022–2025 state panel.</x:v>
      </x:c>
      <x:c r="B3" s="6"/>
      <x:c r="C3" s="6"/>
      <x:c r="D3" s="6"/>
      <x:c r="E3" s="6"/>
      <x:c r="F3" s="6"/>
      <x:c r="G3" s="6"/>
      <x:c r="H3" s="6"/>
      <x:c r="I3" s="6"/>
      <x:c r="J3" s="6"/>
      <x:c r="K3" s="6"/>
      <x:c r="L3" s="6"/>
      <x:c r="M3" s="6"/>
      <x:c r="N3" s="6"/>
    </x:row>
    <x:row r="5">
      <x:c r="A5" s="68" t="str">
        <x:v>Year</x:v>
      </x:c>
      <x:c r="B5" s="68"/>
      <x:c r="C5" s="68"/>
      <x:c r="D5" s="68" t="str">
        <x:v>State A</x:v>
      </x:c>
      <x:c r="E5" s="68"/>
      <x:c r="F5" s="68"/>
      <x:c r="G5" s="68" t="str">
        <x:v>State B</x:v>
      </x:c>
      <x:c r="H5" s="68"/>
      <x:c r="I5" s="68"/>
      <x:c r="J5" s="68" t="str">
        <x:v>Outcome</x:v>
      </x:c>
      <x:c r="K5" s="68"/>
      <x:c r="L5" s="68"/>
    </x:row>
    <x:row r="6">
      <x:c r="A6" s="339" t="n">
        <x:v>2025</x:v>
      </x:c>
      <x:c r="B6" s="340"/>
      <x:c r="C6" s="341"/>
      <x:c r="D6" s="339" t="str">
        <x:v>North Carolina</x:v>
      </x:c>
      <x:c r="E6" s="340"/>
      <x:c r="F6" s="341"/>
      <x:c r="G6" s="339" t="str">
        <x:v>California</x:v>
      </x:c>
      <x:c r="H6" s="340"/>
      <x:c r="I6" s="341"/>
      <x:c r="J6" s="339" t="str">
        <x:v>Loss per capita</x:v>
      </x:c>
      <x:c r="K6" s="340"/>
      <x:c r="L6" s="341"/>
    </x:row>
    <x:row r="7">
      <x:c r="A7" s="342"/>
      <x:c r="B7" s="343"/>
      <x:c r="C7" s="344"/>
      <x:c r="D7" s="342"/>
      <x:c r="E7" s="343"/>
      <x:c r="F7" s="344"/>
      <x:c r="G7" s="342"/>
      <x:c r="H7" s="343"/>
      <x:c r="I7" s="344"/>
      <x:c r="J7" s="342"/>
      <x:c r="K7" s="343"/>
      <x:c r="L7" s="344"/>
    </x:row>
    <x:row r="9">
      <x:c r="A9" s="36" t="str">
        <x:v>Selected-year comparison</x:v>
      </x:c>
      <x:c r="B9" s="36"/>
      <x:c r="C9" s="36"/>
      <x:c r="D9" s="36"/>
      <x:c r="E9" s="36"/>
      <x:c r="F9" s="36"/>
      <x:c r="H9" s="112" t="str">
        <x:v>Economic decomposition</x:v>
      </x:c>
      <x:c r="I9" s="112"/>
      <x:c r="J9" s="112"/>
      <x:c r="K9" s="112"/>
      <x:c r="L9" s="112"/>
      <x:c r="M9" s="112"/>
    </x:row>
    <x:row r="10">
      <x:c r="A10" s="224" t="str">
        <x:v>Metric</x:v>
      </x:c>
      <x:c r="B10" s="224" t="str">
        <x:v>State A</x:v>
      </x:c>
      <x:c r="C10" s="224" t="str">
        <x:v>State B</x:v>
      </x:c>
      <x:c r="D10" s="224" t="str">
        <x:v>B vs A</x:v>
      </x:c>
      <x:c r="H10" s="160" t="str">
        <x:v>LOSS PER PERSON = COMPLAINTS PER PERSON × LOSS PER COMPLAINT
This identity separates exposure from severity. Use the state selectors to see whether a place ranks highly because more residents report fraud, because each complaint is costlier, or both.</x:v>
      </x:c>
      <x:c r="I10" s="161"/>
      <x:c r="J10" s="161"/>
      <x:c r="K10" s="161"/>
      <x:c r="L10" s="161"/>
      <x:c r="M10" s="162"/>
    </x:row>
    <x:row r="11">
      <x:c r="A11" t="str">
        <x:f>$J$6</x:f>
        <x:v>Loss per capita</x:v>
      </x:c>
      <x:c r="B11" s="345" t="n">
        <x:f>IF($J$6="Loss per capita",SUMIFS('Panel Data'!$L$2:$L$205,'Panel Data'!$A$2:$A$205,$A$6,'Panel Data'!$B$2:$B$205,$D$6),IF($J$6="Complaints per 100k",SUMIFS('Panel Data'!$K$2:$K$205,'Panel Data'!$A$2:$A$205,$A$6,'Panel Data'!$B$2:$B$205,$D$6),SUMIFS('Panel Data'!$M$2:$M$205,'Panel Data'!$A$2:$A$205,$A$6,'Panel Data'!$B$2:$B$205,$D$6)))</x:f>
        <x:v>39.06941683269926</x:v>
      </x:c>
      <x:c r="C11" s="345" t="n">
        <x:f>IF($J$6="Loss per capita",SUMIFS('Panel Data'!$L$2:$L$205,'Panel Data'!$A$2:$A$205,$A$6,'Panel Data'!$B$2:$B$205,$G$6),IF($J$6="Complaints per 100k",SUMIFS('Panel Data'!$K$2:$K$205,'Panel Data'!$A$2:$A$205,$A$6,'Panel Data'!$B$2:$B$205,$G$6),SUMIFS('Panel Data'!$M$2:$M$205,'Panel Data'!$A$2:$A$205,$A$6,'Panel Data'!$B$2:$B$205,$G$6)))</x:f>
        <x:v>93.1929648056163</x:v>
      </x:c>
      <x:c r="D11" s="346" t="n">
        <x:f>IFERROR(C11/B11-1,0)</x:f>
        <x:v>1.3853175286613997</x:v>
      </x:c>
      <x:c r="H11" s="163"/>
      <x:c r="I11" s="164"/>
      <x:c r="J11" s="164"/>
      <x:c r="K11" s="164"/>
      <x:c r="L11" s="164"/>
      <x:c r="M11" s="165"/>
    </x:row>
    <x:row r="12">
      <x:c r="A12" t="str">
        <x:v>Median income</x:v>
      </x:c>
      <x:c r="B12" s="226" t="n">
        <x:f>SUMIFS('Panel Data'!$F$2:$F$205,'Panel Data'!$A$2:$A$205,$A$6,'Panel Data'!$B$2:$B$205,$D$6)</x:f>
        <x:v>73958</x:v>
      </x:c>
      <x:c r="C12" s="226" t="n">
        <x:f>SUMIFS('Panel Data'!$F$2:$F$205,'Panel Data'!$A$2:$A$205,$A$6,'Panel Data'!$B$2:$B$205,$G$6)</x:f>
        <x:v>100149</x:v>
      </x:c>
      <x:c r="D12" s="346" t="n">
        <x:f>IFERROR(C12/B12-1,0)</x:f>
        <x:v>0.35413342708023476</x:v>
      </x:c>
      <x:c r="H12" s="163"/>
      <x:c r="I12" s="164"/>
      <x:c r="J12" s="164"/>
      <x:c r="K12" s="164"/>
      <x:c r="L12" s="164"/>
      <x:c r="M12" s="165"/>
    </x:row>
    <x:row r="13">
      <x:c r="A13" t="str">
        <x:v>Complaint rate</x:v>
      </x:c>
      <x:c r="B13" s="318" t="n">
        <x:f>SUMIFS('Panel Data'!$K$2:$K$205,'Panel Data'!$A$2:$A$205,$A$6,'Panel Data'!$B$2:$B$205,$D$6)</x:f>
        <x:v>234.835629544169</x:v>
      </x:c>
      <x:c r="C13" s="318" t="n">
        <x:f>SUMIFS('Panel Data'!$K$2:$K$205,'Panel Data'!$A$2:$A$205,$A$6,'Panel Data'!$B$2:$B$205,$G$6)</x:f>
        <x:v>295.23274463716774</x:v>
      </x:c>
      <x:c r="D13" s="346" t="n">
        <x:f>IFERROR(C13/B13-1,0)</x:f>
        <x:v>0.25718889084349517</x:v>
      </x:c>
      <x:c r="H13" s="163"/>
      <x:c r="I13" s="164"/>
      <x:c r="J13" s="164"/>
      <x:c r="K13" s="164"/>
      <x:c r="L13" s="164"/>
      <x:c r="M13" s="165"/>
    </x:row>
    <x:row r="14">
      <x:c r="A14" t="str">
        <x:v>Loss per complaint</x:v>
      </x:c>
      <x:c r="B14" s="226" t="n">
        <x:f>SUMIFS('Panel Data'!$M$2:$M$205,'Panel Data'!$A$2:$A$205,$A$6,'Panel Data'!$B$2:$B$205,$D$6)</x:f>
        <x:v>16636.92043176561</x:v>
      </x:c>
      <x:c r="C14" s="226" t="n">
        <x:f>SUMIFS('Panel Data'!$M$2:$M$205,'Panel Data'!$A$2:$A$205,$A$6,'Panel Data'!$B$2:$B$205,$G$6)</x:f>
        <x:v>31565.931116532374</x:v>
      </x:c>
      <x:c r="D14" s="346" t="n">
        <x:f>IFERROR(C14/B14-1,0)</x:f>
        <x:v>0.897342194187702</x:v>
      </x:c>
      <x:c r="H14" s="166"/>
      <x:c r="I14" s="167"/>
      <x:c r="J14" s="167"/>
      <x:c r="K14" s="167"/>
      <x:c r="L14" s="167"/>
      <x:c r="M14" s="168"/>
    </x:row>
    <x:row r="17">
      <x:c r="A17" s="36" t="str">
        <x:v>Interactive four-year trend</x:v>
      </x:c>
      <x:c r="B17" s="36"/>
      <x:c r="C17" s="36"/>
      <x:c r="D17" s="36"/>
      <x:c r="E17" s="36"/>
      <x:c r="F17" s="36"/>
    </x:row>
    <x:row r="18">
      <x:c r="A18" t="str">
        <x:v>Year</x:v>
      </x:c>
      <x:c r="B18" t="str">
        <x:f>$D$6</x:f>
        <x:v>North Carolina</x:v>
      </x:c>
      <x:c r="C18" t="str">
        <x:f>$G$6</x:f>
        <x:v>California</x:v>
      </x:c>
    </x:row>
    <x:row r="19">
      <x:c r="A19" t="n">
        <x:v>2022</x:v>
      </x:c>
      <x:c r="B19" s="345" t="n">
        <x:f>IF($J$6="Loss per capita",SUMIFS('Panel Data'!$L$2:$L$205,'Panel Data'!$A$2:$A$205,$A19,'Panel Data'!$B$2:$B$205,$D$6),IF($J$6="Complaints per 100k",SUMIFS('Panel Data'!$K$2:$K$205,'Panel Data'!$A$2:$A$205,$A19,'Panel Data'!$B$2:$B$205,$D$6),SUMIFS('Panel Data'!$M$2:$M$205,'Panel Data'!$A$2:$A$205,$A19,'Panel Data'!$B$2:$B$205,$D$6)))</x:f>
        <x:v>16.628930159540722</x:v>
      </x:c>
      <x:c r="C19" s="345" t="n">
        <x:f>IF($J$6="Loss per capita",SUMIFS('Panel Data'!$L$2:$L$205,'Panel Data'!$A$2:$A$205,$A19,'Panel Data'!$B$2:$B$205,$G$6),IF($J$6="Complaints per 100k",SUMIFS('Panel Data'!$K$2:$K$205,'Panel Data'!$A$2:$A$205,$A19,'Panel Data'!$B$2:$B$205,$G$6),SUMIFS('Panel Data'!$M$2:$M$205,'Panel Data'!$A$2:$A$205,$A19,'Panel Data'!$B$2:$B$205,$G$6)))</x:f>
        <x:v>51.29760127444337</x:v>
      </x:c>
    </x:row>
    <x:row r="20">
      <x:c r="A20" t="n">
        <x:v>2023</x:v>
      </x:c>
      <x:c r="B20" s="345" t="n">
        <x:f>IF($J$6="Loss per capita",SUMIFS('Panel Data'!$L$2:$L$205,'Panel Data'!$A$2:$A$205,$A20,'Panel Data'!$B$2:$B$205,$D$6),IF($J$6="Complaints per 100k",SUMIFS('Panel Data'!$K$2:$K$205,'Panel Data'!$A$2:$A$205,$A20,'Panel Data'!$B$2:$B$205,$D$6),SUMIFS('Panel Data'!$M$2:$M$205,'Panel Data'!$A$2:$A$205,$A20,'Panel Data'!$B$2:$B$205,$D$6)))</x:f>
        <x:v>21.962130196982457</x:v>
      </x:c>
      <x:c r="C20" s="345" t="n">
        <x:f>IF($J$6="Loss per capita",SUMIFS('Panel Data'!$L$2:$L$205,'Panel Data'!$A$2:$A$205,$A20,'Panel Data'!$B$2:$B$205,$G$6),IF($J$6="Complaints per 100k",SUMIFS('Panel Data'!$K$2:$K$205,'Panel Data'!$A$2:$A$205,$A20,'Panel Data'!$B$2:$B$205,$G$6),SUMIFS('Panel Data'!$M$2:$M$205,'Panel Data'!$A$2:$A$205,$A20,'Panel Data'!$B$2:$B$205,$G$6)))</x:f>
        <x:v>55.32900126781538</x:v>
      </x:c>
    </x:row>
    <x:row r="21">
      <x:c r="A21" t="n">
        <x:v>2024</x:v>
      </x:c>
      <x:c r="B21" s="345" t="n">
        <x:f>IF($J$6="Loss per capita",SUMIFS('Panel Data'!$L$2:$L$205,'Panel Data'!$A$2:$A$205,$A21,'Panel Data'!$B$2:$B$205,$D$6),IF($J$6="Complaints per 100k",SUMIFS('Panel Data'!$K$2:$K$205,'Panel Data'!$A$2:$A$205,$A21,'Panel Data'!$B$2:$B$205,$D$6),SUMIFS('Panel Data'!$M$2:$M$205,'Panel Data'!$A$2:$A$205,$A21,'Panel Data'!$B$2:$B$205,$D$6)))</x:f>
        <x:v>29.928311232042923</x:v>
      </x:c>
      <x:c r="C21" s="345" t="n">
        <x:f>IF($J$6="Loss per capita",SUMIFS('Panel Data'!$L$2:$L$205,'Panel Data'!$A$2:$A$205,$A21,'Panel Data'!$B$2:$B$205,$G$6),IF($J$6="Complaints per 100k",SUMIFS('Panel Data'!$K$2:$K$205,'Panel Data'!$A$2:$A$205,$A21,'Panel Data'!$B$2:$B$205,$G$6),SUMIFS('Panel Data'!$M$2:$M$205,'Panel Data'!$A$2:$A$205,$A21,'Panel Data'!$B$2:$B$205,$G$6)))</x:f>
        <x:v>65.1617877268053</x:v>
      </x:c>
    </x:row>
    <x:row r="22">
      <x:c r="A22" t="n">
        <x:v>2025</x:v>
      </x:c>
      <x:c r="B22" s="345" t="n">
        <x:f>IF($J$6="Loss per capita",SUMIFS('Panel Data'!$L$2:$L$205,'Panel Data'!$A$2:$A$205,$A22,'Panel Data'!$B$2:$B$205,$D$6),IF($J$6="Complaints per 100k",SUMIFS('Panel Data'!$K$2:$K$205,'Panel Data'!$A$2:$A$205,$A22,'Panel Data'!$B$2:$B$205,$D$6),SUMIFS('Panel Data'!$M$2:$M$205,'Panel Data'!$A$2:$A$205,$A22,'Panel Data'!$B$2:$B$205,$D$6)))</x:f>
        <x:v>39.06941683269926</x:v>
      </x:c>
      <x:c r="C22" s="345" t="n">
        <x:f>IF($J$6="Loss per capita",SUMIFS('Panel Data'!$L$2:$L$205,'Panel Data'!$A$2:$A$205,$A22,'Panel Data'!$B$2:$B$205,$G$6),IF($J$6="Complaints per 100k",SUMIFS('Panel Data'!$K$2:$K$205,'Panel Data'!$A$2:$A$205,$A22,'Panel Data'!$B$2:$B$205,$G$6),SUMIFS('Panel Data'!$M$2:$M$205,'Panel Data'!$A$2:$A$205,$A22,'Panel Data'!$B$2:$B$205,$G$6)))</x:f>
        <x:v>93.1929648056163</x:v>
      </x:c>
    </x:row>
    <x:row r="25">
      <x:c r="A25" s="67" t="str">
        <x:v>Model lens</x:v>
      </x:c>
      <x:c r="B25" s="67"/>
      <x:c r="C25" s="67"/>
    </x:row>
    <x:row r="26">
      <x:c r="A26" t="str">
        <x:v>Specification</x:v>
      </x:c>
      <x:c r="B26" t="str">
        <x:v>Income elasticity</x:v>
      </x:c>
      <x:c r="C26" t="str">
        <x:v>Approx. p-value</x:v>
      </x:c>
    </x:row>
    <x:row r="27">
      <x:c r="A27" t="str">
        <x:v>Pooled + year effects</x:v>
      </x:c>
      <x:c r="B27" s="263" t="n">
        <x:v>1.552</x:v>
      </x:c>
      <x:c r="C27" s="264" t="n">
        <x:v>0.0003</x:v>
      </x:c>
    </x:row>
    <x:row r="28">
      <x:c r="A28" t="str">
        <x:v>State + year fixed effects</x:v>
      </x:c>
      <x:c r="B28" s="263" t="n">
        <x:v>2.188</x:v>
      </x:c>
      <x:c r="C28" s="264" t="n">
        <x:v>0.28</x:v>
      </x:c>
    </x:row>
    <x:row r="29">
      <x:c r="A29" t="str">
        <x:v>Exclude D.C. robustness</x:v>
      </x:c>
      <x:c r="B29" s="263" t="n">
        <x:v>0.887</x:v>
      </x:c>
      <x:c r="C29" s="264" t="n">
        <x:v>0.0003</x:v>
      </x:c>
    </x:row>
    <x:row r="33">
      <x:c r="A33" s="352" t="str">
        <x:v>Try this:
1. Compare North Carolina with California.
2. Switch the outcome from loss/person to complaints/100K.
3. Change the year.
4. Explain whether exposure or severity drives the gap.</x:v>
      </x:c>
      <x:c r="B33" s="352"/>
      <x:c r="C33" s="352"/>
      <x:c r="E33" s="349" t="str">
        <x:v>ECONOMICS VERDICT
The between-state relationship is strong and survives outlier checks. The within-state estimate is imprecise, so this project supports a geographic association—not a causal claim that rising income produces fraud losses.</x:v>
      </x:c>
      <x:c r="F33" s="349"/>
      <x:c r="G33" s="349"/>
      <x:c r="H33" s="349"/>
      <x:c r="I33" s="349"/>
      <x:c r="J33" s="349"/>
      <x:c r="K33" s="349"/>
      <x:c r="L33" s="349"/>
      <x:c r="M33" s="349"/>
    </x:row>
    <x:row r="34">
      <x:c r="A34" s="352"/>
      <x:c r="B34" s="352"/>
      <x:c r="C34" s="352"/>
      <x:c r="E34" s="349"/>
      <x:c r="F34" s="349"/>
      <x:c r="G34" s="349"/>
      <x:c r="H34" s="349"/>
      <x:c r="I34" s="349"/>
      <x:c r="J34" s="349"/>
      <x:c r="K34" s="349"/>
      <x:c r="L34" s="349"/>
      <x:c r="M34" s="349"/>
    </x:row>
    <x:row r="35">
      <x:c r="A35" s="352"/>
      <x:c r="B35" s="352"/>
      <x:c r="C35" s="352"/>
      <x:c r="E35" s="349"/>
      <x:c r="F35" s="349"/>
      <x:c r="G35" s="349"/>
      <x:c r="H35" s="349"/>
      <x:c r="I35" s="349"/>
      <x:c r="J35" s="349"/>
      <x:c r="K35" s="349"/>
      <x:c r="L35" s="349"/>
      <x:c r="M35" s="349"/>
    </x:row>
    <x:row r="36">
      <x:c r="A36" s="352"/>
      <x:c r="B36" s="352"/>
      <x:c r="C36" s="352"/>
      <x:c r="E36" s="349"/>
      <x:c r="F36" s="349"/>
      <x:c r="G36" s="349"/>
      <x:c r="H36" s="349"/>
      <x:c r="I36" s="349"/>
      <x:c r="J36" s="349"/>
      <x:c r="K36" s="349"/>
      <x:c r="L36" s="349"/>
      <x:c r="M36" s="349"/>
    </x:row>
  </x:sheetData>
  <x:mergeCells>
    <x:mergeCell ref="A1:N2"/>
    <x:mergeCell ref="A3:N3"/>
    <x:mergeCell ref="A5:C5"/>
    <x:mergeCell ref="D5:F5"/>
    <x:mergeCell ref="G5:I5"/>
    <x:mergeCell ref="J5:L5"/>
    <x:mergeCell ref="A6:C7"/>
    <x:mergeCell ref="D6:F7"/>
    <x:mergeCell ref="G6:I7"/>
    <x:mergeCell ref="J6:L7"/>
    <x:mergeCell ref="A9:F9"/>
    <x:mergeCell ref="H9:M9"/>
    <x:mergeCell ref="H10:M14"/>
    <x:mergeCell ref="A17:F17"/>
    <x:mergeCell ref="A25:C25"/>
    <x:mergeCell ref="E33:M36"/>
    <x:mergeCell ref="A33:C36"/>
  </x:mergeCells>
  <x:conditionalFormatting sqref="D11:D14">
    <x:cfRule type="dataBar" priority="1">
      <x:dataBar>
        <x:cfvo type="min"/>
        <x:cfvo type="max"/>
        <x:color rgb="FF2A9D8F"/>
      </x:dataBar>
      <x:extLst>
        <x:ext xmlns:x14="http://schemas.microsoft.com/office/spreadsheetml/2009/9/main" uri="{B025F937-C7B1-47D3-B67F-A62EFF666E3E}">
          <x14:id>{A243974C-1FA9-46EE-B562-FE792E42987A}</x14:id>
        </x:ext>
      </x:extLst>
    </x:cfRule>
  </x:conditionalFormatting>
  <x:dataValidations count="4">
    <x:dataValidation type="list" sqref="A6">
      <x:formula1>"2022,2023,2024,2025"</x:formula1>
    </x:dataValidation>
    <x:dataValidation type="list" sqref="D6">
      <x:formula1>'Chart Data'!$A$2:$A$52</x:formula1>
    </x:dataValidation>
    <x:dataValidation type="list" sqref="G6">
      <x:formula1>'Chart Data'!$A$2:$A$52</x:formula1>
    </x:dataValidation>
    <x:dataValidation type="list" sqref="J6">
      <x:formula1>"Loss per capita,Complaints per 100k,Loss per complaint"</x:formula1>
    </x:dataValidation>
  </x:dataValidations>
  <x:pageMargins left="0.7" right="0.7" top="0.75" bottom="0.75" header="0.3" footer="0.3"/>
  <x:drawing xmlns:r="http://schemas.openxmlformats.org/officeDocument/2006/relationships" r:id="Raf59289ecaef47d3"/>
  <x:extLst>
    <x:ext xmlns:x14="http://schemas.microsoft.com/office/spreadsheetml/2009/9/main" xmlns:xm="http://schemas.microsoft.com/office/excel/2006/main" uri="{78C0D931-6437-407d-A8EE-F0AAD7539E65}">
      <x14:conditionalFormattings>
        <x14:conditionalFormatting>
          <x14:cfRule type="dataBar" priority="1" id="{A243974C-1FA9-46EE-B562-FE792E42987A}">
            <x14:dataBar gradient="1">
              <x14:cfvo type="min"/>
              <x14:cfvo type="max"/>
              <x14:fillColor rgb="FF2A9D8F"/>
            </x14:dataBar>
          </x14:cfRule>
          <xm:sqref>D11:D14</xm:sqref>
        </x14:conditionalFormatting>
      </x14:conditionalFormattings>
    </x:ext>
  </x:extLst>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324" t="str">
        <x:v>SCENARIO LAB — WHAT WOULD THE MODELS IMPLY?</x:v>
      </x:c>
      <x:c r="B1" s="324"/>
      <x:c r="C1" s="324"/>
      <x:c r="D1" s="324"/>
      <x:c r="E1" s="324"/>
      <x:c r="F1" s="324"/>
      <x:c r="G1" s="324"/>
      <x:c r="H1" s="324"/>
      <x:c r="I1" s="324"/>
      <x:c r="J1" s="324"/>
      <x:c r="K1" s="324"/>
      <x:c r="L1" s="324"/>
      <x:c r="M1" s="324"/>
      <x:c r="N1" s="324"/>
    </x:row>
    <x:row r="2">
      <x:c r="A2" s="324"/>
      <x:c r="B2" s="324"/>
      <x:c r="C2" s="324"/>
      <x:c r="D2" s="324"/>
      <x:c r="E2" s="324"/>
      <x:c r="F2" s="324"/>
      <x:c r="G2" s="324"/>
      <x:c r="H2" s="324"/>
      <x:c r="I2" s="324"/>
      <x:c r="J2" s="324"/>
      <x:c r="K2" s="324"/>
      <x:c r="L2" s="324"/>
      <x:c r="M2" s="324"/>
      <x:c r="N2" s="324"/>
    </x:row>
    <x:row r="3">
      <x:c r="A3" s="354" t="str">
        <x:v>Choose a state, year, and hypothetical income change. The workbook translates each estimated elasticity into a model-implied loss-per-person scenario.</x:v>
      </x:c>
      <x:c r="B3" s="354"/>
      <x:c r="C3" s="354"/>
      <x:c r="D3" s="354"/>
      <x:c r="E3" s="354"/>
      <x:c r="F3" s="354"/>
      <x:c r="G3" s="354"/>
      <x:c r="H3" s="354"/>
      <x:c r="I3" s="354"/>
      <x:c r="J3" s="354"/>
      <x:c r="K3" s="354"/>
      <x:c r="L3" s="354"/>
      <x:c r="M3" s="354"/>
      <x:c r="N3" s="354"/>
    </x:row>
    <x:row r="5">
      <x:c r="A5" s="68" t="str">
        <x:v>State</x:v>
      </x:c>
      <x:c r="B5" s="68"/>
      <x:c r="C5" s="68"/>
      <x:c r="D5" s="68" t="str">
        <x:v>Year</x:v>
      </x:c>
      <x:c r="E5" s="68"/>
      <x:c r="F5" s="68"/>
      <x:c r="G5" s="68" t="str">
        <x:v>Income change</x:v>
      </x:c>
      <x:c r="H5" s="68"/>
      <x:c r="I5" s="68"/>
      <x:c r="K5" s="37" t="str">
        <x:v>BASELINE</x:v>
      </x:c>
      <x:c r="L5" s="37"/>
      <x:c r="M5" s="37"/>
      <x:c r="N5" s="37"/>
    </x:row>
    <x:row r="6">
      <x:c r="A6" s="339" t="str">
        <x:v>North Carolina</x:v>
      </x:c>
      <x:c r="B6" s="340"/>
      <x:c r="C6" s="341"/>
      <x:c r="D6" s="339" t="n">
        <x:v>2025</x:v>
      </x:c>
      <x:c r="E6" s="340"/>
      <x:c r="F6" s="341"/>
      <x:c r="G6" s="355" t="n">
        <x:v>0.1</x:v>
      </x:c>
      <x:c r="H6" s="340"/>
      <x:c r="I6" s="341"/>
      <x:c r="K6" s="316" t="str">
        <x:v>Median income</x:v>
      </x:c>
      <x:c r="L6" s="316" t="str">
        <x:v>Loss / person</x:v>
      </x:c>
    </x:row>
    <x:row r="7">
      <x:c r="A7" s="342"/>
      <x:c r="B7" s="343"/>
      <x:c r="C7" s="344"/>
      <x:c r="D7" s="342"/>
      <x:c r="E7" s="343"/>
      <x:c r="F7" s="344"/>
      <x:c r="G7" s="342"/>
      <x:c r="H7" s="343"/>
      <x:c r="I7" s="344"/>
      <x:c r="K7" s="362" t="n">
        <x:f>SUMIFS('Panel Data'!$F$2:$F$205,'Panel Data'!$A$2:$A$205,$D$6,'Panel Data'!$B$2:$B$205,$A$6)</x:f>
        <x:v>73958</x:v>
      </x:c>
      <x:c r="L7" s="363" t="n">
        <x:f>SUMIFS('Panel Data'!$L$2:$L$205,'Panel Data'!$A$2:$A$205,$D$6,'Panel Data'!$B$2:$B$205,$A$6)</x:f>
        <x:v>39.06941683269926</x:v>
      </x:c>
    </x:row>
    <x:row r="10">
      <x:c r="A10" s="36" t="str">
        <x:v>MODEL-IMPLIED LOSS PER PERSON</x:v>
      </x:c>
      <x:c r="B10" s="36"/>
      <x:c r="C10" s="36"/>
      <x:c r="D10" s="36"/>
      <x:c r="E10" s="36"/>
      <x:c r="F10" s="36"/>
      <x:c r="G10" s="36"/>
      <x:c r="H10" s="36"/>
    </x:row>
    <x:row r="11">
      <x:c r="A11" s="316" t="str">
        <x:v>Evidence lens</x:v>
      </x:c>
      <x:c r="B11" s="316" t="str">
        <x:v>Income elasticity</x:v>
      </x:c>
      <x:c r="C11" s="316" t="str">
        <x:v>Baseline</x:v>
      </x:c>
      <x:c r="D11" s="316" t="str">
        <x:v>Scenario</x:v>
      </x:c>
      <x:c r="E11" s="316" t="str">
        <x:v>Change</x:v>
      </x:c>
    </x:row>
    <x:row r="12">
      <x:c r="A12" t="str">
        <x:v>Pooled + year effects</x:v>
      </x:c>
      <x:c r="B12" s="263" t="n">
        <x:v>1.552</x:v>
      </x:c>
      <x:c r="C12" s="225" t="n">
        <x:f>$L$7</x:f>
        <x:v>39.06941683269926</x:v>
      </x:c>
      <x:c r="D12" s="225" t="n">
        <x:f>C12*(1+$G$6)^B12</x:f>
        <x:v>45.297932070756154</x:v>
      </x:c>
      <x:c r="E12" s="364" t="n">
        <x:f>D12/C12-1</x:f>
        <x:v>0.15942176113680606</x:v>
      </x:c>
    </x:row>
    <x:row r="13">
      <x:c r="A13" t="str">
        <x:v>State + year fixed effects</x:v>
      </x:c>
      <x:c r="B13" s="263" t="n">
        <x:v>2.188</x:v>
      </x:c>
      <x:c r="C13" s="225" t="n">
        <x:f>$L$7</x:f>
        <x:v>39.06941683269926</x:v>
      </x:c>
      <x:c r="D13" s="225" t="n">
        <x:f>C13*(1+$G$6)^B13</x:f>
        <x:v>48.12869920014451</x:v>
      </x:c>
      <x:c r="E13" s="364" t="n">
        <x:f>D13/C13-1</x:f>
        <x:v>0.23187657000969253</x:v>
      </x:c>
    </x:row>
    <x:row r="14">
      <x:c r="A14" t="str">
        <x:v>Exclude D.C. robustness</x:v>
      </x:c>
      <x:c r="B14" s="263" t="n">
        <x:v>0.887</x:v>
      </x:c>
      <x:c r="C14" s="225" t="n">
        <x:f>$L$7</x:f>
        <x:v>39.06941683269926</x:v>
      </x:c>
      <x:c r="D14" s="225" t="n">
        <x:f>C14*(1+$G$6)^B14</x:f>
        <x:v>42.51598454771643</x:v>
      </x:c>
      <x:c r="E14" s="364" t="n">
        <x:f>D14/C14-1</x:f>
        <x:v>0.0882165129255923</x:v>
      </x:c>
    </x:row>
    <x:row r="17">
      <x:c r="A17" s="112" t="str">
        <x:v>HOW TO READ IT</x:v>
      </x:c>
      <x:c r="B17" s="112"/>
      <x:c r="C17" s="112"/>
      <x:c r="D17" s="112"/>
      <x:c r="E17" s="112"/>
    </x:row>
    <x:row r="18">
      <x:c r="A18" s="160" t="str">
        <x:v>Elasticity translates percentage changes into model-implied outcome changes. For example, an elasticity of 1.55 means a 10% income difference is associated with roughly a 15.9% difference in loss per person using the exact power formula.
Compare the three rows. Their spread is model uncertainty—not three competing facts.</x:v>
      </x:c>
      <x:c r="B18" s="161"/>
      <x:c r="C18" s="161"/>
      <x:c r="D18" s="161"/>
      <x:c r="E18" s="162"/>
    </x:row>
    <x:row r="19">
      <x:c r="A19" s="163"/>
      <x:c r="B19" s="164"/>
      <x:c r="C19" s="164"/>
      <x:c r="D19" s="164"/>
      <x:c r="E19" s="165"/>
    </x:row>
    <x:row r="20">
      <x:c r="A20" s="163"/>
      <x:c r="B20" s="164"/>
      <x:c r="C20" s="164"/>
      <x:c r="D20" s="164"/>
      <x:c r="E20" s="165"/>
    </x:row>
    <x:row r="21">
      <x:c r="A21" s="163"/>
      <x:c r="B21" s="164"/>
      <x:c r="C21" s="164"/>
      <x:c r="D21" s="164"/>
      <x:c r="E21" s="165"/>
    </x:row>
    <x:row r="22">
      <x:c r="A22" s="163"/>
      <x:c r="B22" s="164"/>
      <x:c r="C22" s="164"/>
      <x:c r="D22" s="164"/>
      <x:c r="E22" s="165"/>
    </x:row>
    <x:row r="23">
      <x:c r="A23" s="163"/>
      <x:c r="B23" s="164"/>
      <x:c r="C23" s="164"/>
      <x:c r="D23" s="164"/>
      <x:c r="E23" s="165"/>
    </x:row>
    <x:row r="24">
      <x:c r="A24" s="166"/>
      <x:c r="B24" s="167"/>
      <x:c r="C24" s="167"/>
      <x:c r="D24" s="167"/>
      <x:c r="E24" s="168"/>
    </x:row>
    <x:row r="27">
      <x:c r="A27" s="349" t="str">
        <x:v>IMPORTANT: THIS IS NOT A CAUSAL FORECAST
The elasticities describe associations in state-level data. Changing income alone would not mechanically cause the displayed change in fraud loss. Reporting behavior, target value, internet exposure, enforcement, and omitted state characteristics may all contribute. Use this lab to study sensitivity and identification—not to predict policy effects.</x:v>
      </x:c>
      <x:c r="B27" s="349"/>
      <x:c r="C27" s="349"/>
      <x:c r="D27" s="349"/>
      <x:c r="E27" s="349"/>
      <x:c r="F27" s="349"/>
      <x:c r="G27" s="349"/>
      <x:c r="H27" s="349"/>
      <x:c r="I27" s="349"/>
      <x:c r="J27" s="349"/>
      <x:c r="K27" s="349"/>
      <x:c r="L27" s="349"/>
      <x:c r="M27" s="349"/>
      <x:c r="N27" s="349"/>
    </x:row>
    <x:row r="28">
      <x:c r="A28" s="349"/>
      <x:c r="B28" s="349"/>
      <x:c r="C28" s="349"/>
      <x:c r="D28" s="349"/>
      <x:c r="E28" s="349"/>
      <x:c r="F28" s="349"/>
      <x:c r="G28" s="349"/>
      <x:c r="H28" s="349"/>
      <x:c r="I28" s="349"/>
      <x:c r="J28" s="349"/>
      <x:c r="K28" s="349"/>
      <x:c r="L28" s="349"/>
      <x:c r="M28" s="349"/>
      <x:c r="N28" s="349"/>
    </x:row>
    <x:row r="29">
      <x:c r="A29" s="349"/>
      <x:c r="B29" s="349"/>
      <x:c r="C29" s="349"/>
      <x:c r="D29" s="349"/>
      <x:c r="E29" s="349"/>
      <x:c r="F29" s="349"/>
      <x:c r="G29" s="349"/>
      <x:c r="H29" s="349"/>
      <x:c r="I29" s="349"/>
      <x:c r="J29" s="349"/>
      <x:c r="K29" s="349"/>
      <x:c r="L29" s="349"/>
      <x:c r="M29" s="349"/>
      <x:c r="N29" s="349"/>
    </x:row>
    <x:row r="30">
      <x:c r="A30" s="349"/>
      <x:c r="B30" s="349"/>
      <x:c r="C30" s="349"/>
      <x:c r="D30" s="349"/>
      <x:c r="E30" s="349"/>
      <x:c r="F30" s="349"/>
      <x:c r="G30" s="349"/>
      <x:c r="H30" s="349"/>
      <x:c r="I30" s="349"/>
      <x:c r="J30" s="349"/>
      <x:c r="K30" s="349"/>
      <x:c r="L30" s="349"/>
      <x:c r="M30" s="349"/>
      <x:c r="N30" s="349"/>
    </x:row>
    <x:row r="31">
      <x:c r="A31" s="349"/>
      <x:c r="B31" s="349"/>
      <x:c r="C31" s="349"/>
      <x:c r="D31" s="349"/>
      <x:c r="E31" s="349"/>
      <x:c r="F31" s="349"/>
      <x:c r="G31" s="349"/>
      <x:c r="H31" s="349"/>
      <x:c r="I31" s="349"/>
      <x:c r="J31" s="349"/>
      <x:c r="K31" s="349"/>
      <x:c r="L31" s="349"/>
      <x:c r="M31" s="349"/>
      <x:c r="N31" s="349"/>
    </x:row>
    <x:row r="33">
      <x:c r="A33" s="354" t="str">
        <x:v>CHALLENGE: Set income change to +10%. Which specification produces the smallest implied change? Why might the fixed-effects estimate be less precise even though its point estimate is larger?</x:v>
      </x:c>
      <x:c r="B33" s="354"/>
      <x:c r="C33" s="354"/>
      <x:c r="D33" s="354"/>
      <x:c r="E33" s="354"/>
      <x:c r="F33" s="354"/>
      <x:c r="G33" s="354"/>
      <x:c r="H33" s="354"/>
      <x:c r="I33" s="354"/>
      <x:c r="J33" s="354"/>
      <x:c r="K33" s="354"/>
      <x:c r="L33" s="354"/>
      <x:c r="M33" s="354"/>
      <x:c r="N33" s="354"/>
    </x:row>
    <x:row r="34">
      <x:c r="A34" s="354"/>
      <x:c r="B34" s="354"/>
      <x:c r="C34" s="354"/>
      <x:c r="D34" s="354"/>
      <x:c r="E34" s="354"/>
      <x:c r="F34" s="354"/>
      <x:c r="G34" s="354"/>
      <x:c r="H34" s="354"/>
      <x:c r="I34" s="354"/>
      <x:c r="J34" s="354"/>
      <x:c r="K34" s="354"/>
      <x:c r="L34" s="354"/>
      <x:c r="M34" s="354"/>
      <x:c r="N34" s="354"/>
    </x:row>
    <x:row r="35">
      <x:c r="A35" s="354"/>
      <x:c r="B35" s="354"/>
      <x:c r="C35" s="354"/>
      <x:c r="D35" s="354"/>
      <x:c r="E35" s="354"/>
      <x:c r="F35" s="354"/>
      <x:c r="G35" s="354"/>
      <x:c r="H35" s="354"/>
      <x:c r="I35" s="354"/>
      <x:c r="J35" s="354"/>
      <x:c r="K35" s="354"/>
      <x:c r="L35" s="354"/>
      <x:c r="M35" s="354"/>
      <x:c r="N35" s="354"/>
    </x:row>
  </x:sheetData>
  <x:mergeCells>
    <x:mergeCell ref="A1:N2"/>
    <x:mergeCell ref="A3:N3"/>
    <x:mergeCell ref="A5:C5"/>
    <x:mergeCell ref="D5:F5"/>
    <x:mergeCell ref="G5:I5"/>
    <x:mergeCell ref="A6:C7"/>
    <x:mergeCell ref="D6:F7"/>
    <x:mergeCell ref="G6:I7"/>
    <x:mergeCell ref="K5:N5"/>
    <x:mergeCell ref="A10:H10"/>
    <x:mergeCell ref="A17:E17"/>
    <x:mergeCell ref="A18:E24"/>
    <x:mergeCell ref="A27:N31"/>
    <x:mergeCell ref="A33:N35"/>
  </x:mergeCells>
  <x:conditionalFormatting sqref="E12:E14">
    <x:cfRule type="dataBar" priority="1">
      <x:dataBar>
        <x:cfvo type="min"/>
        <x:cfvo type="max"/>
        <x:color rgb="FF2A9D8F"/>
      </x:dataBar>
      <x:extLst>
        <x:ext xmlns:x14="http://schemas.microsoft.com/office/spreadsheetml/2009/9/main" uri="{B025F937-C7B1-47D3-B67F-A62EFF666E3E}">
          <x14:id>{CB2FE225-2CFD-8AD7-C75C-B7D01DF273F4}</x14:id>
        </x:ext>
      </x:extLst>
    </x:cfRule>
  </x:conditionalFormatting>
  <x:dataValidations count="3">
    <x:dataValidation type="list" sqref="A6">
      <x:formula1>'Chart Data'!$A$2:$A$52</x:formula1>
    </x:dataValidation>
    <x:dataValidation type="list" sqref="D6">
      <x:formula1>"2022,2023,2024,2025"</x:formula1>
    </x:dataValidation>
    <x:dataValidation type="decimal" operator="between" sqref="G6">
      <x:formula1>-0.5</x:formula1>
      <x:formula2>1</x:formula2>
    </x:dataValidation>
  </x:dataValidations>
  <x:pageMargins left="0.7" right="0.7" top="0.75" bottom="0.75" header="0.3" footer="0.3"/>
  <x:drawing xmlns:r="http://schemas.openxmlformats.org/officeDocument/2006/relationships" r:id="Rf55c8bf5eebd4686"/>
  <x:extLst>
    <x:ext xmlns:x14="http://schemas.microsoft.com/office/spreadsheetml/2009/9/main" xmlns:xm="http://schemas.microsoft.com/office/excel/2006/main" uri="{78C0D931-6437-407d-A8EE-F0AAD7539E65}">
      <x14:conditionalFormattings>
        <x14:conditionalFormatting>
          <x14:cfRule type="dataBar" priority="1" id="{CB2FE225-2CFD-8AD7-C75C-B7D01DF273F4}">
            <x14:dataBar gradient="1">
              <x14:cfvo type="min"/>
              <x14:cfvo type="max"/>
              <x14:fillColor rgb="FF2A9D8F"/>
            </x14:dataBar>
          </x14:cfRule>
          <xm:sqref>E12:E14</xm:sqref>
        </x14:conditionalFormatting>
      </x14:conditionalFormattings>
    </x:ext>
  </x:extLst>
</x:worksheet>
</file>