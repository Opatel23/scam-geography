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6d96c316e1e6453f" /></Relationships>
</file>

<file path=xl/workbook.xml><?xml version="1.0" encoding="utf-8"?>
<x:workbook xmlns:x="http://schemas.openxmlformats.org/spreadsheetml/2006/main">
  <x:sheets>
    <x:sheet xmlns:r="http://schemas.openxmlformats.org/officeDocument/2006/relationships" name="Start Here" sheetId="1" r:id="Rab1cdb4281114e14"/>
    <x:sheet xmlns:r="http://schemas.openxmlformats.org/officeDocument/2006/relationships" name="Dashboard" sheetId="2" r:id="Re497712f04cf4f88"/>
    <x:sheet xmlns:r="http://schemas.openxmlformats.org/officeDocument/2006/relationships" name="State Data" sheetId="3" r:id="Ra7e63c07b3aa48e6"/>
    <x:sheet xmlns:r="http://schemas.openxmlformats.org/officeDocument/2006/relationships" name="Regression" sheetId="4" r:id="R85eae07a8bb24653"/>
    <x:sheet xmlns:r="http://schemas.openxmlformats.org/officeDocument/2006/relationships" name="Sources &amp; Notes" sheetId="5" r:id="Rfdd73c6033d34741"/>
    <x:sheet xmlns:r="http://schemas.openxmlformats.org/officeDocument/2006/relationships" name="Chart Data" sheetId="6" r:id="R4a52f703274d42f3"/>
    <x:sheet xmlns:r="http://schemas.openxmlformats.org/officeDocument/2006/relationships" name="Panel Dashboard" sheetId="7" r:id="Rde7c556f03c443a7"/>
    <x:sheet xmlns:r="http://schemas.openxmlformats.org/officeDocument/2006/relationships" name="Panel Data" sheetId="8" r:id="Racaa2c8238de4715"/>
    <x:sheet xmlns:r="http://schemas.openxmlformats.org/officeDocument/2006/relationships" name="Panel Models" sheetId="9" r:id="R119b9d6a1cfa4e6e"/>
    <x:sheet xmlns:r="http://schemas.openxmlformats.org/officeDocument/2006/relationships" name="Interactive Econ Lab" sheetId="10" r:id="Rca940365b08846ce"/>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s>
  <x:fonts count="20">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s>
  <x:fills count="13">
    <x:fill>
      <x:patternFill patternType="none"/>
    </x:fill>
    <x:fill>
      <x:patternFill patternType="gray125"/>
    </x:fill>
    <x:fill>
      <x:patternFill patternType="solid">
        <x:fgColor rgb="FF17324D"/>
      </x:patternFill>
    </x:fill>
    <x:fill>
      <x:patternFill patternType="solid">
        <x:fgColor rgb="FFDDF25A"/>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3A6"/>
      </x:patternFill>
    </x:fill>
  </x:fills>
  <x:borders count="34">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medium">
        <x:color rgb="FFD99B2B"/>
      </x:left>
      <x:top style="medium">
        <x:color rgb="FFD99B2B"/>
      </x:top>
    </x:border>
    <x:border>
      <x:top style="medium">
        <x:color rgb="FFD99B2B"/>
      </x:top>
    </x:border>
    <x:border>
      <x:right style="medium">
        <x:color rgb="FFD99B2B"/>
      </x:right>
      <x:top style="medium">
        <x:color rgb="FFD99B2B"/>
      </x:top>
    </x:border>
    <x:border>
      <x:left style="medium">
        <x:color rgb="FFD99B2B"/>
      </x:left>
      <x:bottom style="medium">
        <x:color rgb="FFD99B2B"/>
      </x:bottom>
    </x:border>
    <x:border>
      <x:bottom style="medium">
        <x:color rgb="FFD99B2B"/>
      </x:bottom>
    </x:border>
    <x:border>
      <x:right style="medium">
        <x:color rgb="FFD99B2B"/>
      </x:right>
      <x:bottom style="medium">
        <x:color rgb="FFD99B2B"/>
      </x:bottom>
    </x:border>
  </x:borders>
  <x:cellStyleXfs count="1">
    <x:xf numFmtId="0" fontId="0" fillId="0" borderId="0"/>
  </x:cellStyleXfs>
  <x:cellXfs count="35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205" fontId="0" fillId="4" borderId="0" xfId="0" applyNumberFormat="1" applyFont="1" applyFill="1" applyBorder="1"/>
    <x:xf numFmtId="205" fontId="14" fillId="4" borderId="0" xfId="0" applyNumberFormat="1" applyFont="1" applyFill="1" applyBorder="1"/>
    <x:xf numFmtId="205" fontId="14" fillId="4" borderId="0" xfId="0" applyNumberFormat="1" applyFont="1" applyFill="1" applyBorder="1" applyAlignment="1">
      <x:alignment wrapText="1"/>
    </x:xf>
    <x:xf numFmtId="205" fontId="14" fillId="4" borderId="0"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0" xfId="0" applyNumberFormat="1" applyFont="1" applyFill="1" applyBorder="1" applyAlignment="1">
      <x:alignment wrapText="1"/>
    </x:xf>
    <x:xf numFmtId="0" fontId="12" fillId="2" borderId="0"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cellXfs>
  <x:cellStyles count="1">
    <x:cellStyle name="Normal" xfId="0"/>
  </x:cellStyles>
  <x:dxfs count="2">
    <x:dxf>
      <x:font>
        <x:b/>
        <x:color rgb="FF19603A"/>
      </x:font>
      <x:fill>
        <x:patternFill patternType="solid">
          <x:bgColor rgb="FFDFF2E8"/>
        </x:patternFill>
      </x:fill>
    </x:dxf>
    <x:dxf>
      <x:font>
        <x:b/>
        <x:color rgb="FF19603A"/>
      </x:font>
      <x:fill>
        <x:patternFill patternType="solid">
          <x:bgColor rgb="FFDF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635f85cf6134138" /><Relationship Type="http://schemas.openxmlformats.org/officeDocument/2006/relationships/theme" Target="/xl/theme/theme1.xml" Id="R7e717e338ccc409d" /><Relationship Type="http://schemas.openxmlformats.org/officeDocument/2006/relationships/sharedStrings" Target="/xl/sharedStrings.xml" Id="Ra5a729658cc74a82" /><Relationship Type="http://schemas.openxmlformats.org/officeDocument/2006/relationships/worksheet" Target="/xl/worksheets/sheet1.xml" Id="Rab1cdb4281114e14" /><Relationship Type="http://schemas.openxmlformats.org/officeDocument/2006/relationships/worksheet" Target="/xl/worksheets/sheet2.xml" Id="Re497712f04cf4f88" /><Relationship Type="http://schemas.openxmlformats.org/officeDocument/2006/relationships/worksheet" Target="/xl/worksheets/sheet3.xml" Id="Ra7e63c07b3aa48e6" /><Relationship Type="http://schemas.openxmlformats.org/officeDocument/2006/relationships/worksheet" Target="/xl/worksheets/sheet4.xml" Id="R85eae07a8bb24653" /><Relationship Type="http://schemas.openxmlformats.org/officeDocument/2006/relationships/worksheet" Target="/xl/worksheets/sheet5.xml" Id="Rfdd73c6033d34741" /><Relationship Type="http://schemas.openxmlformats.org/officeDocument/2006/relationships/worksheet" Target="/xl/worksheets/sheet6.xml" Id="R4a52f703274d42f3" /><Relationship Type="http://schemas.openxmlformats.org/officeDocument/2006/relationships/worksheet" Target="/xl/worksheets/sheet7.xml" Id="Rde7c556f03c443a7" /><Relationship Type="http://schemas.openxmlformats.org/officeDocument/2006/relationships/worksheet" Target="/xl/worksheets/sheet8.xml" Id="Racaa2c8238de4715" /><Relationship Type="http://schemas.openxmlformats.org/officeDocument/2006/relationships/worksheet" Target="/xl/worksheets/sheet9.xml" Id="R119b9d6a1cfa4e6e" /><Relationship Type="http://schemas.openxmlformats.org/officeDocument/2006/relationships/worksheet" Target="/xl/worksheets/sheet10.xml" Id="Rca940365b08846ce" /></Relationships>
</file>

<file path=xl/drawings/_rels/drawing1.xml.rels>&#65279;<?xml version="1.0" encoding="utf-8"?><Relationships xmlns="http://schemas.openxmlformats.org/package/2006/relationships"><Relationship Type="http://schemas.openxmlformats.org/officeDocument/2006/relationships/chart" Target="/xl/drawings/charts/chart1.xml" Id="Rc32b60024eaf4879" /><Relationship Type="http://schemas.openxmlformats.org/officeDocument/2006/relationships/chart" Target="/xl/drawings/charts/chart2.xml" Id="Rd0107fc84ce1420e" /></Relationships>
</file>

<file path=xl/drawings/_rels/drawing2.xml.rels>&#65279;<?xml version="1.0" encoding="utf-8"?><Relationships xmlns="http://schemas.openxmlformats.org/package/2006/relationships"><Relationship Type="http://schemas.openxmlformats.org/officeDocument/2006/relationships/chart" Target="/xl/drawings/charts/chart3.xml" Id="R13fdf32d4f484896" /></Relationships>
</file>

<file path=xl/drawings/_rels/drawing3.xml.rels>&#65279;<?xml version="1.0" encoding="utf-8"?><Relationships xmlns="http://schemas.openxmlformats.org/package/2006/relationships"><Relationship Type="http://schemas.openxmlformats.org/officeDocument/2006/relationships/chart" Target="/xl/drawings/charts/chart4.xml" Id="R4730103cfd99454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reported loss per capita (2025)</a:t>
            </a:r>
          </a:p>
        </c:rich>
      </c:tx>
      <c:overlay val="0"/>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Higher-income states tend to report larger losses per resident</a:t>
            </a:r>
          </a:p>
        </c:rich>
      </c:tx>
      <c:overlay val="0"/>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Reported loss per resident nearly doubled, 2022–2025</a:t>
            </a:r>
          </a:p>
        </c:rich>
      </c:tx>
      <c:overlay val="0"/>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outcome across time</a:t>
            </a:r>
          </a:p>
        </c:rich>
      </c:tx>
      <c:overlay val="0"/>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2b60024eaf4879"/>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107fc84ce1420e"/>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fdf32d4f484896"/>
        </a:graphicData>
      </a:graphic>
    </xdr:graphicFrame>
    <xdr:clientData/>
  </xdr:twoCellAnchor>
</xdr:wsDr>
</file>

<file path=xl/drawings/drawing3.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30103cfd99454c"/>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3.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c04ae5c174424614" /></Relationships>
</file>

<file path=xl/worksheets/_rels/sheet3.xml.rels>&#65279;<?xml version="1.0" encoding="utf-8"?><Relationships xmlns="http://schemas.openxmlformats.org/package/2006/relationships"><Relationship Type="http://schemas.openxmlformats.org/officeDocument/2006/relationships/table" Target="/xl/tables/table1.xml" Id="Rf1bea02cc0114a1f" /></Relationships>
</file>

<file path=xl/worksheets/_rels/sheet4.xml.rels>&#65279;<?xml version="1.0" encoding="utf-8"?><Relationships xmlns="http://schemas.openxmlformats.org/package/2006/relationships"><Relationship Type="http://schemas.openxmlformats.org/officeDocument/2006/relationships/table" Target="/xl/tables/table2.xml" Id="R6dfdc67bdcdd40c1" /></Relationships>
</file>

<file path=xl/worksheets/_rels/sheet7.xml.rels>&#65279;<?xml version="1.0" encoding="utf-8"?><Relationships xmlns="http://schemas.openxmlformats.org/package/2006/relationships"><Relationship Type="http://schemas.openxmlformats.org/officeDocument/2006/relationships/drawing" Target="/xl/drawings/drawing2.xml" Id="R132945cdf8c747bb" /></Relationships>
</file>

<file path=xl/worksheets/_rels/sheet8.xml.rels>&#65279;<?xml version="1.0" encoding="utf-8"?><Relationships xmlns="http://schemas.openxmlformats.org/package/2006/relationships"><Relationship Type="http://schemas.openxmlformats.org/officeDocument/2006/relationships/table" Target="/xl/tables/table3.xml" Id="R3f9ef2228b084441" /></Relationships>
</file>

<file path=xl/worksheets/_rels/sheet9.xml.rels>&#65279;<?xml version="1.0" encoding="utf-8"?><Relationships xmlns="http://schemas.openxmlformats.org/package/2006/relationships"><Relationship Type="http://schemas.openxmlformats.org/officeDocument/2006/relationships/table" Target="/xl/tables/table4.xml" Id="R8d734bb78f88443e" /></Relationships>
</file>

<file path=xl/worksheets/_rels/sheet10.xml.rels>&#65279;<?xml version="1.0" encoding="utf-8"?><Relationships xmlns="http://schemas.openxmlformats.org/package/2006/relationships"><Relationship Type="http://schemas.openxmlformats.org/officeDocument/2006/relationships/drawing" Target="/xl/drawings/drawing3.xml" Id="R6b7516cdcdd04ac4"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 FBI IC3 + Census ACS | 2022–2025</x:v>
      </x:c>
      <x:c r="B4" s="6"/>
      <x:c r="C4" s="6"/>
      <x:c r="D4" s="6"/>
      <x:c r="E4" s="6"/>
      <x:c r="F4" s="6"/>
      <x:c r="G4" s="6"/>
      <x:c r="H4" s="6"/>
      <x:c r="I4" s="6"/>
      <x:c r="J4" s="6"/>
      <x:c r="K4" s="6"/>
      <x:c r="L4" s="6"/>
      <x:c r="M4" s="6"/>
      <x:c r="N4" s="6"/>
    </x:row>
    <x:row r="6">
      <x:c r="A6" s="26" t="str">
        <x:v>RESEARCH QUESTION
Where does reported online fraud impose the greatest economic harm—and do income, internet access, and demographic differences help explain the geography?</x:v>
      </x:c>
      <x:c r="B6" s="27"/>
      <x:c r="C6" s="27"/>
      <x:c r="D6" s="27"/>
      <x:c r="E6" s="27"/>
      <x:c r="F6" s="27"/>
      <x:c r="G6" s="27"/>
      <x:c r="H6" s="27"/>
      <x:c r="I6" s="28"/>
      <x:c r="K6" s="37" t="str">
        <x:v>QUICK START</x:v>
      </x:c>
      <x:c r="L6" s="37"/>
      <x:c r="M6" s="37"/>
      <x:c r="N6" s="37"/>
    </x:row>
    <x:row r="7">
      <x:c r="A7" s="29"/>
      <x:c r="B7" s="30"/>
      <x:c r="C7" s="30"/>
      <x:c r="D7" s="30"/>
      <x:c r="E7" s="30"/>
      <x:c r="F7" s="30"/>
      <x:c r="G7" s="30"/>
      <x:c r="H7" s="30"/>
      <x:c r="I7" s="31"/>
      <x:c r="K7" s="57" t="str">
        <x:v>1. Open Interactive Econ Lab
2. Change the four yellow controls
3. Compare exposure vs. severity
4. Read the model verdict
5. Check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3"/>
      <x:c r="L10" s="64"/>
      <x:c r="M10" s="64"/>
      <x:c r="N10"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residents report fraud,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consistently report greater losses, but the within-state estimate is imprecise. The project therefore documents a robust geographic association—not a causal effect of income growth on fraud.</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0"/>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Online Fraud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c04ae5c174424614"/>
</x:worksheet>
</file>

<file path=xl/worksheets/sheet3.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f1bea02cc0114a1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6dfdc67bdcdd40c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Complaint data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Next-level evidence: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What the stronger design changes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A30" s="257" t="str">
        <x:v>Identification verdict: adding years improves power and lets the project separate permanent geographic differences from changes within a state. The fixed-effects model does not confirm a causal income effect, so the paper treats income as a marker of target value and correlated state characteristics.</x:v>
      </x:c>
      <x:c r="B30" s="257"/>
      <x:c r="C30" s="257"/>
      <x:c r="D30" s="257"/>
      <x:c r="E30" s="257"/>
      <x:c r="F30" s="257"/>
      <x:c r="G30" s="257"/>
      <x:c r="H30" s="257" t="n">
        <x:v>2025</x:v>
      </x:c>
      <x:c r="I30" s="257" t="str">
        <x:v>Midwest</x:v>
      </x:c>
      <x:c r="J30" s="322" t="n">
        <x:v>38.10106403927721</x:v>
      </x:c>
      <x:c r="K30" s="257"/>
      <x:c r="L30" s="257"/>
      <x:c r="M30" s="257"/>
      <x:c r="N30" s="257"/>
    </x:row>
    <x:row r="31">
      <x:c r="A31" s="257"/>
      <x:c r="B31" s="257"/>
      <x:c r="C31" s="257"/>
      <x:c r="D31" s="257"/>
      <x:c r="E31" s="257"/>
      <x:c r="F31" s="257"/>
      <x:c r="G31" s="257"/>
      <x:c r="H31" s="257" t="n">
        <x:v>2025</x:v>
      </x:c>
      <x:c r="I31" s="257" t="str">
        <x:v>Northeast</x:v>
      </x:c>
      <x:c r="J31" s="322" t="n">
        <x:v>56.52968852436764</x:v>
      </x:c>
      <x:c r="K31" s="257"/>
      <x:c r="L31" s="257"/>
      <x:c r="M31" s="257"/>
      <x:c r="N31" s="257"/>
    </x:row>
    <x:row r="32">
      <x:c r="A32" s="257"/>
      <x:c r="B32" s="257"/>
      <x:c r="C32" s="257"/>
      <x:c r="D32" s="257"/>
      <x:c r="E32" s="257"/>
      <x:c r="F32" s="257"/>
      <x:c r="G32" s="257"/>
      <x:c r="H32" s="257" t="n">
        <x:v>2025</x:v>
      </x:c>
      <x:c r="I32" s="257" t="str">
        <x:v>South</x:v>
      </x:c>
      <x:c r="J32" s="322" t="n">
        <x:v>50.83281948408471</x:v>
      </x:c>
      <x:c r="K32" s="257"/>
      <x:c r="L32" s="257"/>
      <x:c r="M32" s="257"/>
      <x:c r="N32" s="257"/>
    </x:row>
    <x:row r="33">
      <x:c r="A33" s="257"/>
      <x:c r="B33" s="257"/>
      <x:c r="C33" s="257"/>
      <x:c r="D33" s="257"/>
      <x:c r="E33" s="257"/>
      <x:c r="F33" s="257"/>
      <x:c r="G33" s="257"/>
      <x:c r="H33" s="257" t="n">
        <x:v>2025</x:v>
      </x:c>
      <x:c r="I33" s="257" t="str">
        <x:v>West</x:v>
      </x:c>
      <x:c r="J33" s="322" t="n">
        <x:v>77.59990114199603</x:v>
      </x:c>
      <x:c r="K33" s="257"/>
      <x:c r="L33" s="257"/>
      <x:c r="M33" s="257"/>
      <x:c r="N33" s="257"/>
    </x:row>
  </x:sheetData>
  <x:mergeCells>
    <x:mergeCell ref="A1:N2"/>
    <x:mergeCell ref="A3:N3"/>
    <x:mergeCell ref="A5:E5"/>
    <x:mergeCell ref="H5:N5"/>
    <x:mergeCell ref="H6:N14"/>
    <x:mergeCell ref="H16:N16"/>
    <x:mergeCell ref="A30:N33"/>
  </x:mergeCells>
  <x:pageMargins left="0.7" right="0.7" top="0.75" bottom="0.75" header="0.3" footer="0.3"/>
  <x:drawing xmlns:r="http://schemas.openxmlformats.org/officeDocument/2006/relationships" r:id="R132945cdf8c747bb"/>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3f9ef2228b08444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8d734bb78f88443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SCAM GEOGRAPHY — INTERACTIVE ECONOMICS LAB</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Change the yellow cells. Every result below updates from the 2022–2025 state panel.</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39" t="n">
        <x:v>2025</x:v>
      </x:c>
      <x:c r="B6" s="340"/>
      <x:c r="C6" s="341"/>
      <x:c r="D6" s="339" t="str">
        <x:v>North Carolina</x:v>
      </x:c>
      <x:c r="E6" s="340"/>
      <x:c r="F6" s="341"/>
      <x:c r="G6" s="339" t="str">
        <x:v>California</x:v>
      </x:c>
      <x:c r="H6" s="340"/>
      <x:c r="I6" s="341"/>
      <x:c r="J6" s="339" t="str">
        <x:v>Loss per capita</x:v>
      </x:c>
      <x:c r="K6" s="340"/>
      <x:c r="L6" s="341"/>
    </x:row>
    <x:row r="7">
      <x:c r="A7" s="342"/>
      <x:c r="B7" s="343"/>
      <x:c r="C7" s="344"/>
      <x:c r="D7" s="342"/>
      <x:c r="E7" s="343"/>
      <x:c r="F7" s="344"/>
      <x:c r="G7" s="342"/>
      <x:c r="H7" s="343"/>
      <x:c r="I7" s="344"/>
      <x:c r="J7" s="342"/>
      <x:c r="K7" s="343"/>
      <x:c r="L7" s="34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residents report fraud, because each complaint is costlier, or both.</x:v>
      </x:c>
      <x:c r="I10" s="161"/>
      <x:c r="J10" s="161"/>
      <x:c r="K10" s="161"/>
      <x:c r="L10" s="161"/>
      <x:c r="M10" s="162"/>
    </x:row>
    <x:row r="11">
      <x:c r="A11" t="str">
        <x:f>$J$6</x:f>
        <x:v>Loss per capita</x:v>
      </x:c>
      <x:c r="B11" s="345" t="n">
        <x:f>IF($J$6="Loss per capita",SUMIFS('Panel Data'!$L$2:$L$205,'Panel Data'!$A$2:$A$205,$A$6,'Panel Data'!$B$2:$B$205,$D$6),IF($J$6="Complaints per 100k",SUMIFS('Panel Data'!$K$2:$K$205,'Panel Data'!$A$2:$A$205,$A$6,'Panel Data'!$B$2:$B$205,$D$6),SUMIFS('Panel Data'!$M$2:$M$205,'Panel Data'!$A$2:$A$205,$A$6,'Panel Data'!$B$2:$B$205,$D$6)))</x:f>
        <x:v>39.06941683269926</x:v>
      </x:c>
      <x:c r="C11" s="345" t="n">
        <x:f>IF($J$6="Loss per capita",SUMIFS('Panel Data'!$L$2:$L$205,'Panel Data'!$A$2:$A$205,$A$6,'Panel Data'!$B$2:$B$205,$G$6),IF($J$6="Complaints per 100k",SUMIFS('Panel Data'!$K$2:$K$205,'Panel Data'!$A$2:$A$205,$A$6,'Panel Data'!$B$2:$B$205,$G$6),SUMIFS('Panel Data'!$M$2:$M$205,'Panel Data'!$A$2:$A$205,$A$6,'Panel Data'!$B$2:$B$205,$G$6)))</x:f>
        <x:v>93.1929648056163</x:v>
      </x:c>
      <x:c r="D11" s="34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4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4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4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45" t="n">
        <x:f>IF($J$6="Loss per capita",SUMIFS('Panel Data'!$L$2:$L$205,'Panel Data'!$A$2:$A$205,$A19,'Panel Data'!$B$2:$B$205,$D$6),IF($J$6="Complaints per 100k",SUMIFS('Panel Data'!$K$2:$K$205,'Panel Data'!$A$2:$A$205,$A19,'Panel Data'!$B$2:$B$205,$D$6),SUMIFS('Panel Data'!$M$2:$M$205,'Panel Data'!$A$2:$A$205,$A19,'Panel Data'!$B$2:$B$205,$D$6)))</x:f>
        <x:v>16.628930159540722</x:v>
      </x:c>
      <x:c r="C19" s="34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45" t="n">
        <x:f>IF($J$6="Loss per capita",SUMIFS('Panel Data'!$L$2:$L$205,'Panel Data'!$A$2:$A$205,$A20,'Panel Data'!$B$2:$B$205,$D$6),IF($J$6="Complaints per 100k",SUMIFS('Panel Data'!$K$2:$K$205,'Panel Data'!$A$2:$A$205,$A20,'Panel Data'!$B$2:$B$205,$D$6),SUMIFS('Panel Data'!$M$2:$M$205,'Panel Data'!$A$2:$A$205,$A20,'Panel Data'!$B$2:$B$205,$D$6)))</x:f>
        <x:v>21.962130196982457</x:v>
      </x:c>
      <x:c r="C20" s="34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45" t="n">
        <x:f>IF($J$6="Loss per capita",SUMIFS('Panel Data'!$L$2:$L$205,'Panel Data'!$A$2:$A$205,$A21,'Panel Data'!$B$2:$B$205,$D$6),IF($J$6="Complaints per 100k",SUMIFS('Panel Data'!$K$2:$K$205,'Panel Data'!$A$2:$A$205,$A21,'Panel Data'!$B$2:$B$205,$D$6),SUMIFS('Panel Data'!$M$2:$M$205,'Panel Data'!$A$2:$A$205,$A21,'Panel Data'!$B$2:$B$205,$D$6)))</x:f>
        <x:v>29.928311232042923</x:v>
      </x:c>
      <x:c r="C21" s="34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45" t="n">
        <x:f>IF($J$6="Loss per capita",SUMIFS('Panel Data'!$L$2:$L$205,'Panel Data'!$A$2:$A$205,$A22,'Panel Data'!$B$2:$B$205,$D$6),IF($J$6="Complaints per 100k",SUMIFS('Panel Data'!$K$2:$K$205,'Panel Data'!$A$2:$A$205,$A22,'Panel Data'!$B$2:$B$205,$D$6),SUMIFS('Panel Data'!$M$2:$M$205,'Panel Data'!$A$2:$A$205,$A22,'Panel Data'!$B$2:$B$205,$D$6)))</x:f>
        <x:v>39.06941683269926</x:v>
      </x:c>
      <x:c r="C22" s="34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352" t="str">
        <x:v>Try this:
1. Compare North Carolina with California.
2. Switch the outcome from loss/person to complaints/100K.
3. Change the year.
4. Explain whether exposure or severity drives the gap.</x:v>
      </x:c>
      <x:c r="B33" s="352"/>
      <x:c r="C33" s="352"/>
      <x:c r="E33" s="349" t="str">
        <x:v>ECONOMICS VERDICT
The between-state relationship is strong and survives outlier checks. The within-state estimate is imprecise, so this project supports a geographic association—not a causal claim that rising income produces fraud losses.</x:v>
      </x:c>
      <x:c r="F33" s="349"/>
      <x:c r="G33" s="349"/>
      <x:c r="H33" s="349"/>
      <x:c r="I33" s="349"/>
      <x:c r="J33" s="349"/>
      <x:c r="K33" s="349"/>
      <x:c r="L33" s="349"/>
      <x:c r="M33" s="349"/>
    </x:row>
    <x:row r="34">
      <x:c r="A34" s="352"/>
      <x:c r="B34" s="352"/>
      <x:c r="C34" s="352"/>
      <x:c r="E34" s="349"/>
      <x:c r="F34" s="349"/>
      <x:c r="G34" s="349"/>
      <x:c r="H34" s="349"/>
      <x:c r="I34" s="349"/>
      <x:c r="J34" s="349"/>
      <x:c r="K34" s="349"/>
      <x:c r="L34" s="349"/>
      <x:c r="M34" s="349"/>
    </x:row>
    <x:row r="35">
      <x:c r="A35" s="352"/>
      <x:c r="B35" s="352"/>
      <x:c r="C35" s="352"/>
      <x:c r="E35" s="349"/>
      <x:c r="F35" s="349"/>
      <x:c r="G35" s="349"/>
      <x:c r="H35" s="349"/>
      <x:c r="I35" s="349"/>
      <x:c r="J35" s="349"/>
      <x:c r="K35" s="349"/>
      <x:c r="L35" s="349"/>
      <x:c r="M35" s="349"/>
    </x:row>
    <x:row r="36">
      <x:c r="A36" s="352"/>
      <x:c r="B36" s="352"/>
      <x:c r="C36" s="352"/>
      <x:c r="E36" s="349"/>
      <x:c r="F36" s="349"/>
      <x:c r="G36" s="349"/>
      <x:c r="H36" s="349"/>
      <x:c r="I36" s="349"/>
      <x:c r="J36" s="349"/>
      <x:c r="K36" s="349"/>
      <x:c r="L36" s="349"/>
      <x:c r="M36" s="349"/>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6"/>
    <x:mergeCell ref="A33:C36"/>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6b7516cdcdd04ac4"/>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